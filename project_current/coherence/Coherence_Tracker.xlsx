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630d672d5a49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herence items" sheetId="1" r:id="R20c869f04f9a4f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m/dd/yy"/>
  </x:numFmts>
  <x:fonts count="7">
    <x:font>
      <x:sz val="11"/>
      <x:name val="Carlito"/>
    </x:font>
    <x:font>
      <x:sz val="11"/>
      <x:color rgb="FF233448"/>
      <x:name val="Arial"/>
    </x:font>
    <x:font>
      <x:b/>
      <x:sz val="17"/>
      <x:color rgb="FF233448"/>
      <x:name val="Arial"/>
    </x:font>
    <x:font>
      <x:sz val="11"/>
      <x:color rgb="FF556575"/>
      <x:name val="Arial"/>
    </x:font>
    <x:font>
      <x:b/>
      <x:sz val="11"/>
      <x:color rgb="FFFFFFFF"/>
      <x:name val="Arial"/>
    </x:font>
    <x:font>
      <x:b/>
      <x:sz val="11"/>
      <x:color rgb="FF233448"/>
      <x:name val="Arial"/>
    </x:font>
    <x:font>
      <x:b/>
      <x:sz val="15"/>
      <x:color rgb="FF23344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0475E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FFF3D6"/>
      </x:patternFill>
    </x:fill>
  </x:fills>
  <x:borders count="3">
    <x:border/>
    <x:border>
      <x:bottom style="thin">
        <x:color rgb="FF8397AB"/>
      </x:bottom>
    </x:border>
    <x:border>
      <x:bottom style="thin">
        <x:color rgb="FFDFE6ED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horizontal="center"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5" fillId="3" borderId="2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horizontal="center" vertical="top" wrapText="1"/>
    </x:xf>
    <x:xf numFmtId="0" fontId="1" fillId="4" borderId="2" xfId="0" applyNumberFormat="1" applyFont="1" applyFill="1" applyBorder="1" applyAlignment="1">
      <x:alignment vertical="top" wrapText="1"/>
    </x:xf>
    <x:xf numFmtId="0" fontId="5" fillId="4" borderId="2" xfId="0" applyNumberFormat="1" applyFont="1" applyFill="1" applyBorder="1" applyAlignment="1">
      <x:alignment vertical="top" wrapText="1"/>
    </x:xf>
    <x:xf numFmtId="0" fontId="1" fillId="5" borderId="2" xfId="0" applyNumberFormat="1" applyFont="1" applyFill="1" applyBorder="1" applyAlignment="1">
      <x:alignment vertical="top" wrapText="1"/>
    </x:xf>
    <x:xf numFmtId="200" fontId="1" fillId="5" borderId="2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8B3D16"/>
      </x:font>
      <x:fill>
        <x:patternFill>
          <x:bgColor rgb="FFFDE7D9"/>
        </x:patternFill>
      </x:fill>
    </x:dxf>
    <x:dxf>
      <x:font>
        <x:color rgb="FF57466C"/>
      </x:font>
      <x:fill>
        <x:patternFill>
          <x:bgColor rgb="FFECE8F4"/>
        </x:patternFill>
      </x:fill>
    </x:dxf>
    <x:dxf>
      <x:font>
        <x:color rgb="FF4B5A67"/>
      </x:font>
      <x:fill>
        <x:patternFill>
          <x:bgColor rgb="FFE9EEF2"/>
        </x:patternFill>
      </x:fill>
    </x:dxf>
    <x:dxf>
      <x:font>
        <x:b/>
        <x:color rgb="FF9B2226"/>
      </x:font>
      <x:fill>
        <x:patternFill>
          <x:bgColor rgb="FFFBE3E3"/>
        </x:patternFill>
      </x:fill>
    </x:dxf>
    <x:dxf>
      <x:font>
        <x:b/>
        <x:color rgb="FF9B2226"/>
      </x:font>
      <x:fill>
        <x:patternFill>
          <x:bgColor rgb="FFFB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b8e485e934606" /><Relationship Type="http://schemas.openxmlformats.org/officeDocument/2006/relationships/theme" Target="/xl/theme/theme1.xml" Id="R4dfe634ac3ab4382" /><Relationship Type="http://schemas.openxmlformats.org/officeDocument/2006/relationships/sharedStrings" Target="/xl/sharedStrings.xml" Id="R3fd201b6c9454277" /><Relationship Type="http://schemas.openxmlformats.org/officeDocument/2006/relationships/worksheet" Target="/xl/worksheets/sheet1.xml" Id="R20c869f04f9a4fd0" /></Relationships>
</file>

<file path=xl/tables/table1.xml><?xml version="1.0" encoding="utf-8"?>
<x:table xmlns:x="http://schemas.openxmlformats.org/spreadsheetml/2006/main" id="1" name="CoherenceItems" displayName="CoherenceItems" ref="A8:L68" headerRowCount="1" totalsRowCount="0" totalsRowShown="0">
  <x:autoFilter ref="A8:L68"/>
  <x:tableColumns count="12">
    <x:tableColumn id="1" name="Item ID"/>
    <x:tableColumn id="2" name="Status"/>
    <x:tableColumn id="3" name="Area"/>
    <x:tableColumn id="4" name="Item"/>
    <x:tableColumn id="5" name="Finding"/>
    <x:tableColumn id="6" name="Next action"/>
    <x:tableColumn id="7" name="Your response"/>
    <x:tableColumn id="8" name="Owner"/>
    <x:tableColumn id="9" name="Due date"/>
    <x:tableColumn id="10" name="Resolution / evidence"/>
    <x:tableColumn id="11" name="Source references"/>
    <x:tableColumn id="12" name="Last review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e5cc9ec9794190" /></Relationships>
</file>

<file path=xl/worksheets/sheet1.xml><?xml version="1.0" encoding="utf-8"?>
<x:worksheet xmlns:x="http://schemas.openxmlformats.org/spreadsheetml/2006/main">
  <x:sheetPr>
    <x:tabColor rgb="FF30475E"/>
  </x:sheetPr>
  <x:sheetViews>
    <x:sheetView showGridLines="0" workbookViewId="0">
      <x:pane xSplit="2" ySplit="8" topLeftCell="C9" activePane="bottomRight" state="frozen"/>
    </x:sheetView>
  </x:sheetViews>
  <x:sheetFormatPr defaultRowHeight="15"/>
  <x:cols>
    <x:col min="1" max="1" width="10.5" hidden="0" customWidth="1"/>
    <x:col min="2" max="2" width="18" hidden="0" customWidth="1"/>
    <x:col min="3" max="3" width="16.5" hidden="0" customWidth="1"/>
    <x:col min="4" max="4" width="25.6299991607666" hidden="0" customWidth="1"/>
    <x:col min="5" max="5" width="47.75" hidden="0" customWidth="1"/>
    <x:col min="6" max="6" width="43.75" hidden="0" customWidth="1"/>
    <x:col min="7" max="7" width="41.25" hidden="0" customWidth="1"/>
    <x:col min="8" max="8" width="15" hidden="0" customWidth="1"/>
    <x:col min="9" max="9" width="13" hidden="0" customWidth="1"/>
    <x:col min="10" max="10" width="41.25" hidden="0" customWidth="1"/>
    <x:col min="11" max="11" width="43.75" hidden="0" customWidth="1"/>
    <x:col min="12" max="12" width="14.75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.25" customHeight="1">
      <x:c r="A2" s="4" t="str">
        <x:v>D2 I-95 project coherence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18.75" customHeight="1">
      <x:c r="A3" s="6" t="str">
        <x:v>Review updated: 10 October 2026. Source selections, recorded responses and closure evidence are preserved here.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1" customHeight="1">
      <x:c r="A4" s="2" t="str">
        <x:v>Outstanding</x:v>
      </x:c>
      <x:c r="B4" s="31" t="n">
        <x:f>COUNTIFS($A$9:$A$1008,"&lt;&gt;",$B$9:$B$1008,"&lt;&gt;Closed",$B$9:$B$1008,"&lt;&gt;Not applicable")</x:f>
        <x:v>19</x:v>
      </x:c>
      <x:c r="C4" s="2" t="str">
        <x:v>Awaiting source</x:v>
      </x:c>
      <x:c r="D4" s="31" t="n">
        <x:f>COUNTIFS($A$9:$A$1008,"&lt;&gt;",$B$9:$B$1008,"Awaiting source")</x:f>
        <x:v>3</x:v>
      </x:c>
      <x:c r="E4" s="2" t="str">
        <x:v>Deferred</x:v>
      </x:c>
      <x:c r="F4" s="31" t="n">
        <x:f>COUNTIFS($A$9:$A$1008,"&lt;&gt;",$B$9:$B$1008,"Deferred")</x:f>
        <x:v>3</x:v>
      </x:c>
      <x:c r="G4" s="2" t="str">
        <x:v>Marked closed / N.A.</x:v>
      </x:c>
      <x:c r="H4" s="31" t="n">
        <x:f>COUNTIFS($A$9:$A$1008,"&lt;&gt;",$B$9:$B$1008,"Closed")+COUNTIFS($A$9:$A$1008,"&lt;&gt;",$B$9:$B$1008,"Not applicable")</x:f>
        <x:v>3</x:v>
      </x:c>
      <x:c r="I4" s="2"/>
      <x:c r="J4" s="2"/>
      <x:c r="K4" s="2"/>
      <x:c r="L4" s="2"/>
    </x:row>
    <x:row r="5" ht="17.25" customHeight="1">
      <x:c r="A5" s="6" t="str">
        <x:v>Use Status filters for outstanding work. Yellow cells are for updates. Keep existing IDs when sorting or revising.</x:v>
      </x:c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 ht="17.25" customHeight="1">
      <x:c r="A6" s="6" t="str">
        <x:v>Add rows with the next COH number. Counts cover rows 9-1008. Record closure evidence in J, save, then run the project check.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9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30" customHeight="1">
      <x:c r="A8" s="10" t="str">
        <x:v>Item ID</x:v>
      </x:c>
      <x:c r="B8" s="10" t="str">
        <x:v>Status</x:v>
      </x:c>
      <x:c r="C8" s="10" t="str">
        <x:v>Area</x:v>
      </x:c>
      <x:c r="D8" s="10" t="str">
        <x:v>Item</x:v>
      </x:c>
      <x:c r="E8" s="10" t="str">
        <x:v>Finding</x:v>
      </x:c>
      <x:c r="F8" s="10" t="str">
        <x:v>Next action</x:v>
      </x:c>
      <x:c r="G8" s="10" t="str">
        <x:v>Your response</x:v>
      </x:c>
      <x:c r="H8" s="10" t="str">
        <x:v>Owner</x:v>
      </x:c>
      <x:c r="I8" s="10" t="str">
        <x:v>Due date</x:v>
      </x:c>
      <x:c r="J8" s="10" t="str">
        <x:v>Resolution / evidence</x:v>
      </x:c>
      <x:c r="K8" s="10" t="str">
        <x:v>Source references</x:v>
      </x:c>
      <x:c r="L8" s="10" t="str">
        <x:v>Last reviewed</x:v>
      </x:c>
    </x:row>
    <x:row r="9" ht="116" customHeight="1">
      <x:c r="A9" s="18" t="str">
        <x:v>COH-001</x:v>
      </x:c>
      <x:c r="B9" s="27" t="str">
        <x:v>Closed</x:v>
      </x:c>
      <x:c r="C9" s="19" t="str">
        <x:v>Pier</x:v>
      </x:c>
      <x:c r="D9" s="20" t="str">
        <x:v>Right bearing-row offset</x:v>
      </x:c>
      <x:c r="E9" s="19" t="str">
        <x:v>Historical right row was +10.14 in. The matching Pier_Fixed.XML now has nodes 183/184 at +10.50 in and nodes 181/182 at -10.50 in, matching the journal.</x:v>
      </x:c>
      <x:c r="F9" s="19" t="str">
        <x:v>Coordinate discrepancy resolved. Full model load and convergence review remains COH-004.</x:v>
      </x:c>
      <x:c r="G9" s="27" t="str">
        <x:v>I need to correct the FBMP model I think there is a typo in it. I'll update the model and reupload the report. — recorded response, 9 October 2026.</x:v>
      </x:c>
      <x:c r="H9" s="27"/>
      <x:c r="I9" s="28"/>
      <x:c r="J9" s="27" t="str">
        <x:v>10 October: exact report/XML fingerprint matched; PIER-XML nodal coordinates 181–184 verified. See source_update.json.</x:v>
      </x:c>
      <x:c r="K9" s="19" t="str">
        <x:v>PIER-XML; JOURNAL; coherence/evidence/pier_review_2026-10-09.xlsx, item 02; tasks/T006/response-disposition.json, item 02; coherence/evidence/2026-10-10/source_update.json</x:v>
      </x:c>
      <x:c r="L9" s="28" t="n">
        <x:v>46305</x:v>
      </x:c>
    </x:row>
    <x:row r="10" ht="116" customHeight="1">
      <x:c r="A10" s="24" t="str">
        <x:v>COH-002</x:v>
      </x:c>
      <x:c r="B10" s="27" t="str">
        <x:v>Open</x:v>
      </x:c>
      <x:c r="C10" s="25" t="str">
        <x:v>Pier</x:v>
      </x:c>
      <x:c r="D10" s="26" t="str">
        <x:v>U-bar / pile conflicts</x:v>
      </x:c>
      <x:c r="E10" s="25" t="str">
        <x:v>The new pier cage uses #5 U-bars with 50-degree trial hook rotations. Hook development and engagement remain pending. Field bending was permitted in the recorded T006 response.</x:v>
      </x:c>
      <x:c r="F10" s="25" t="str">
        <x:v>Verify the revised U-bar clearance, development and engagement. Separate end-face U-grid failure is COH-019.</x:v>
      </x:c>
      <x:c r="G10" s="27" t="str">
        <x:v>U bars tails can be field bent to accommodate a potential clash — recorded response, 9 October 2026.</x:v>
      </x:c>
      <x:c r="H10" s="27"/>
      <x:c r="I10" s="28"/>
      <x:c r="J10" s="27"/>
      <x:c r="K10" s="25" t="str">
        <x:v>PIER-REPORT; coherence/evidence/pier_review_2026-10-09.xlsx, item 03; tasks/T006/response-disposition.json, item 03; coherence/evidence/2026-10-10/source_update.json</x:v>
      </x:c>
      <x:c r="L10" s="28" t="n">
        <x:v>46305</x:v>
      </x:c>
    </x:row>
    <x:row r="11" ht="116" customHeight="1">
      <x:c r="A11" s="18" t="str">
        <x:v>COH-003</x:v>
      </x:c>
      <x:c r="B11" s="27" t="str">
        <x:v>Open</x:v>
      </x:c>
      <x:c r="C11" s="19" t="str">
        <x:v>Pier</x:v>
      </x:c>
      <x:c r="D11" s="20" t="str">
        <x:v>Longitudinal tension reference</x:v>
      </x:c>
      <x:c r="E11" s="19" t="str">
        <x:v>Historical uniform-reference shortfall is retained in prior evidence. New actual-cage longitudinal tension is PENDING: N 0.946947, P 0.776624, B 0.863733. Ratios below 1 do not close prerequisites.</x:v>
      </x:c>
      <x:c r="F11" s="19" t="str">
        <x:v>Resolve developed-steel and load-path prerequisites and document actual-cage acceptance.</x:v>
      </x:c>
      <x:c r="G11" s="27" t="str">
        <x:v>Explain to me in chat what the N uniform check is all about — recorded response, 9 October 2026.</x:v>
      </x:c>
      <x:c r="H11" s="27"/>
      <x:c r="I11" s="28"/>
      <x:c r="J11" s="27"/>
      <x:c r="K11" s="19" t="str">
        <x:v>PIER-REPORT; coherence/evidence/pier_review_2026-10-09.xlsx, item 04; tasks/T006/response-disposition.json, item 04; coherence/evidence/2026-10-10/source_update.json</x:v>
      </x:c>
      <x:c r="L11" s="28" t="n">
        <x:v>46305</x:v>
      </x:c>
    </x:row>
    <x:row r="12" ht="116" customHeight="1">
      <x:c r="A12" s="24" t="str">
        <x:v>COH-004</x:v>
      </x:c>
      <x:c r="B12" s="27" t="str">
        <x:v>Open</x:v>
      </x:c>
      <x:c r="C12" s="25" t="str">
        <x:v>Pier</x:v>
      </x:c>
      <x:c r="D12" s="26" t="str">
        <x:v>Complete model load comparison</x:v>
      </x:c>
      <x:c r="E12" s="25" t="str">
        <x:v>New Pier_Fixed report/XML fingerprints match and bearing offsets reconcile. Full current wind, below-pad weights, transfer moments, combinations and convergence remain unverified against T006.</x:v>
      </x:c>
      <x:c r="F12" s="25" t="str">
        <x:v>Compare the exact current model loading with T006 and document needed reruns and convergence evidence.</x:v>
      </x:c>
      <x:c r="G12" s="27" t="str">
        <x:v>Will need to provide an update cap design report as the latest. — recorded response, 9 October 2026.</x:v>
      </x:c>
      <x:c r="H12" s="27"/>
      <x:c r="I12" s="28"/>
      <x:c r="J12" s="27"/>
      <x:c r="K12" s="25" t="str">
        <x:v>PIER-XML; JOURNAL; coherence/evidence/pier_review_2026-10-09.xlsx, item 05; tasks/T006/response-disposition.json, item 05; coherence/evidence/2026-10-10/source_update.json</x:v>
      </x:c>
      <x:c r="L12" s="28" t="n">
        <x:v>46305</x:v>
      </x:c>
    </x:row>
    <x:row r="13" ht="116" customHeight="1">
      <x:c r="A13" s="18" t="str">
        <x:v>COH-005</x:v>
      </x:c>
      <x:c r="B13" s="27" t="str">
        <x:v>Open</x:v>
      </x:c>
      <x:c r="C13" s="19" t="str">
        <x:v>Pier</x:v>
      </x:c>
      <x:c r="D13" s="20" t="str">
        <x:v>Wind and wall geometry</x:v>
      </x:c>
      <x:c r="E13" s="19" t="str">
        <x:v>T006 linked wind width to the 230-in cap length. The 231-in discrepancy is resolved in the accepted journal. Separate wall/fin dimensions and model wind-load currency remain open.</x:v>
      </x:c>
      <x:c r="F13" s="19" t="str">
        <x:v>Establish remaining wall/fin geometry and compare current model wind loads with the T006 basis.</x:v>
      </x:c>
      <x:c r="G13" s="27" t="str">
        <x:v>Use the cap length from the report — recorded response, 9 October 2026.</x:v>
      </x:c>
      <x:c r="H13" s="27"/>
      <x:c r="I13" s="28"/>
      <x:c r="J13" s="27" t="str">
        <x:v>Partial: T006 receipt and final review verify 230-in width and dependent wind quantities; wall quantities were excluded.</x:v>
      </x:c>
      <x:c r="K13" s="19" t="str">
        <x:v>JOURNAL; coherence/evidence/pier_review_2026-10-09.xlsx, item 06; tasks/T006/response-disposition.json, item 06; coherence/evidence/2026-10-10/source_update.json</x:v>
      </x:c>
      <x:c r="L13" s="28" t="n">
        <x:v>46305</x:v>
      </x:c>
    </x:row>
    <x:row r="14" ht="116" customHeight="1">
      <x:c r="A14" s="24" t="str">
        <x:v>COH-006</x:v>
      </x:c>
      <x:c r="B14" s="27" t="str">
        <x:v>Closed</x:v>
      </x:c>
      <x:c r="C14" s="25" t="str">
        <x:v>Journal</x:v>
      </x:c>
      <x:c r="D14" s="26" t="str">
        <x:v>Historical quantity sketches</x:v>
      </x:c>
      <x:c r="E14" s="25" t="str">
        <x:v>T006 labeled the older cap sketches historical; the live cap quantity remains 230 ft3.</x:v>
      </x:c>
      <x:c r="F14" s="25" t="str">
        <x:v>No action for historical labels. Separate wall quantities remain open.</x:v>
      </x:c>
      <x:c r="G14" s="27" t="str">
        <x:v>Use the cap length from the report — recorded response, 9 October 2026.</x:v>
      </x:c>
      <x:c r="H14" s="27"/>
      <x:c r="I14" s="28"/>
      <x:c r="J14" s="27" t="str">
        <x:v>Existing T006 acceptance fingerprint and all listed evidence hashes verified. Accepted final review records native inspection of the quantity note.</x:v>
      </x:c>
      <x:c r="K14" s="25" t="str">
        <x:v>JOURNAL; coherence/evidence/pier_review_2026-10-09.xlsx, item 06; tasks/T006/response-disposition.json, item 06; coherence/evidence/2026-10-10/source_update.json</x:v>
      </x:c>
      <x:c r="L14" s="28" t="n">
        <x:v>46305</x:v>
      </x:c>
    </x:row>
    <x:row r="15" ht="116" customHeight="1">
      <x:c r="A15" s="18" t="str">
        <x:v>COH-007</x:v>
      </x:c>
      <x:c r="B15" s="27" t="str">
        <x:v>Deferred</x:v>
      </x:c>
      <x:c r="C15" s="19" t="str">
        <x:v>Pier</x:v>
      </x:c>
      <x:c r="D15" s="20" t="str">
        <x:v>Remaining design checks</x:v>
      </x:c>
      <x:c r="E15" s="19" t="str">
        <x:v>New pier report: 67 pending entries and two FAIL entries (one end-grid clearance failure and its aggregate summary). Service III remains N/A by D-007 despite the report label.</x:v>
      </x:c>
      <x:c r="F15" s="19" t="str">
        <x:v>Retain the recorded deferral. Resolve individual checks when directed; address new end-grid failure under COH-019.</x:v>
      </x:c>
      <x:c r="G15" s="27" t="str">
        <x:v>Leave as is — recorded response, 9 October 2026.</x:v>
      </x:c>
      <x:c r="H15" s="27"/>
      <x:c r="I15" s="28"/>
      <x:c r="J15" s="27"/>
      <x:c r="K15" s="19" t="str">
        <x:v>PIER-REPORT; coherence/evidence/pier_review_2026-10-09.xlsx, item 07; tasks/T006/response-disposition.json, item 07; coherence/evidence/2026-10-10/source_update.json</x:v>
      </x:c>
      <x:c r="L15" s="28" t="n">
        <x:v>46305</x:v>
      </x:c>
    </x:row>
    <x:row r="16" ht="116" customHeight="1">
      <x:c r="A16" s="24" t="str">
        <x:v>COH-008</x:v>
      </x:c>
      <x:c r="B16" s="27" t="str">
        <x:v>Deferred</x:v>
      </x:c>
      <x:c r="C16" s="25" t="str">
        <x:v>Pier</x:v>
      </x:c>
      <x:c r="D16" s="26" t="str">
        <x:v>Spacing and fabrication takeoff</x:v>
      </x:c>
      <x:c r="E16" s="25" t="str">
        <x:v>New pier gross steel is 1260.94 lb and excludes laps, closures, undrawn anchorage and waste. Spacing/fabrication review remains deferred to shops by recorded direction.</x:v>
      </x:c>
      <x:c r="F16" s="25" t="str">
        <x:v>Complete the tolerance and fabrication takeoff review at shops, preserving the deferral.</x:v>
      </x:c>
      <x:c r="G16" s="27" t="str">
        <x:v>Leave as is we can deal with this issue in shops later — recorded response, 9 October 2026.</x:v>
      </x:c>
      <x:c r="H16" s="27"/>
      <x:c r="I16" s="28"/>
      <x:c r="J16" s="27"/>
      <x:c r="K16" s="25" t="str">
        <x:v>PIER-REPORT; coherence/evidence/pier_review_2026-10-09.xlsx, item 08; tasks/T006/response-disposition.json, item 08; coherence/evidence/2026-10-10/source_update.json</x:v>
      </x:c>
      <x:c r="L16" s="28" t="n">
        <x:v>46305</x:v>
      </x:c>
    </x:row>
    <x:row r="17" ht="116" customHeight="1">
      <x:c r="A17" s="18" t="str">
        <x:v>COH-009</x:v>
      </x:c>
      <x:c r="B17" s="27" t="str">
        <x:v>Closed</x:v>
      </x:c>
      <x:c r="C17" s="19" t="str">
        <x:v>Journal</x:v>
      </x:c>
      <x:c r="D17" s="20" t="str">
        <x:v>Three reference links</x:v>
      </x:c>
      <x:c r="E17" s="19" t="str">
        <x:v>T006 repaired the two CodePage42 references and the CodePage14 reference using verified existing targets.</x:v>
      </x:c>
      <x:c r="F17" s="19" t="str">
        <x:v>No action for these three historical links.</x:v>
      </x:c>
      <x:c r="G17" s="27" t="str">
        <x:v>repair now — recorded response, 9 October 2026.</x:v>
      </x:c>
      <x:c r="H17" s="27"/>
      <x:c r="I17" s="28"/>
      <x:c r="J17" s="27" t="str">
        <x:v>Existing T006 acceptance and evidence hashes verified; its final review records zero stored errors and zero broken links.</x:v>
      </x:c>
      <x:c r="K17" s="19" t="str">
        <x:v>JOURNAL; coherence/evidence/pier_review_2026-10-09.xlsx, item 09; coherence/evidence/end_bent_response_review.md; tasks/T006/response-disposition.json, item 09; coherence/evidence/2026-10-10/source_update.json</x:v>
      </x:c>
      <x:c r="L17" s="28" t="n">
        <x:v>46305</x:v>
      </x:c>
    </x:row>
    <x:row r="18" ht="67.5" customHeight="1">
      <x:c r="A18" s="24" t="str">
        <x:v>COH-010</x:v>
      </x:c>
      <x:c r="B18" s="27" t="str">
        <x:v>Deferred</x:v>
      </x:c>
      <x:c r="C18" s="25" t="str">
        <x:v>End bents</x:v>
      </x:c>
      <x:c r="D18" s="26" t="str">
        <x:v>Backwall and cheek-wall quantities</x:v>
      </x:c>
      <x:c r="E18" s="25" t="str">
        <x:v>Final wall geometry and quantities were deferred. Cap-only quantities exclude walls.</x:v>
      </x:c>
      <x:c r="F18" s="25" t="str">
        <x:v>Supply final wall details, then reconcile quantities and dead loads.</x:v>
      </x:c>
      <x:c r="G18" s="27" t="str">
        <x:v>Will address later — recorded user response, 8 October 2026.</x:v>
      </x:c>
      <x:c r="H18" s="27"/>
      <x:c r="I18" s="28"/>
      <x:c r="J18" s="27"/>
      <x:c r="K18" s="25" t="str">
        <x:v>JOURNAL; coherence/evidence/end_bent_response_review.md, item 02</x:v>
      </x:c>
      <x:c r="L18" s="28" t="n">
        <x:v>46304</x:v>
      </x:c>
    </x:row>
    <x:row r="19" ht="116" customHeight="1">
      <x:c r="A19" s="18" t="str">
        <x:v>COH-011</x:v>
      </x:c>
      <x:c r="B19" s="27" t="str">
        <x:v>Open</x:v>
      </x:c>
      <x:c r="C19" s="19" t="str">
        <x:v>End bents</x:v>
      </x:c>
      <x:c r="D19" s="20" t="str">
        <x:v>Revised U-bar hooks</x:v>
      </x:c>
      <x:c r="E19" s="19" t="str">
        <x:v>The new end-bent report includes #5 U-bars with 50-degree trial rotations and 3.75-in tails. Rotated-hook development and engagement remain PENDING.</x:v>
      </x:c>
      <x:c r="F19" s="19" t="str">
        <x:v>Verify revised hook clearance, development and engagement. Separate end-face U-grid failure is COH-020.</x:v>
      </x:c>
      <x:c r="G19" s="27" t="str">
        <x:v>Field-bend interfering hooks for clearance — recorded user direction, 8 October 2026.</x:v>
      </x:c>
      <x:c r="H19" s="27"/>
      <x:c r="I19" s="28"/>
      <x:c r="J19" s="27"/>
      <x:c r="K19" s="19" t="str">
        <x:v>EB-REPORT; coherence/evidence/end_bent_response_review.md, item 06; coherence/evidence/2026-10-10/source_update.json</x:v>
      </x:c>
      <x:c r="L19" s="28" t="n">
        <x:v>46305</x:v>
      </x:c>
    </x:row>
    <x:row r="20" ht="116" customHeight="1">
      <x:c r="A20" s="24" t="str">
        <x:v>COH-012</x:v>
      </x:c>
      <x:c r="B20" s="27" t="str">
        <x:v>Open</x:v>
      </x:c>
      <x:c r="C20" s="25" t="str">
        <x:v>End bents</x:v>
      </x:c>
      <x:c r="D20" s="26" t="str">
        <x:v>Remaining design checks</x:v>
      </x:c>
      <x:c r="E20" s="25" t="str">
        <x:v>New end-bent report: 50 pending entries and two FAIL entries (end-grid clearance and aggregate summary). Service III remains N/A by D-007; other pending checks remain separate.</x:v>
      </x:c>
      <x:c r="F20" s="25" t="str">
        <x:v>Record evidence/disposition for remaining fatigue, anchorage, shear prerequisites, face reinforcement, D-regions and exposure checks.</x:v>
      </x:c>
      <x:c r="G20" s="27"/>
      <x:c r="H20" s="27"/>
      <x:c r="I20" s="28"/>
      <x:c r="J20" s="27"/>
      <x:c r="K20" s="25" t="str">
        <x:v>EB-REPORT; coherence/evidence/end_bent_response_review.md, item 07; coherence/evidence/2026-10-10/source_update.json</x:v>
      </x:c>
      <x:c r="L20" s="28" t="n">
        <x:v>46305</x:v>
      </x:c>
    </x:row>
    <x:row r="21" ht="116" customHeight="1">
      <x:c r="A21" s="18" t="str">
        <x:v>COH-013</x:v>
      </x:c>
      <x:c r="B21" s="27" t="str">
        <x:v>Awaiting source</x:v>
      </x:c>
      <x:c r="C21" s="19" t="str">
        <x:v>End bents</x:v>
      </x:c>
      <x:c r="D21" s="20" t="str">
        <x:v>Matching raw analysis export</x:v>
      </x:c>
      <x:c r="E21" s="19" t="str">
        <x:v>New end-bent report requires XML SHA256 8414fbedfbf1270fbd65b2cf940f2dc2050818c282cc6f66db2d20b2f3ff17ee. Available same-named XML matches only the superseded report.</x:v>
      </x:c>
      <x:c r="F21" s="19" t="str">
        <x:v>Supply the matching new End Bent 1 XML and native run record; do not substitute the older export.</x:v>
      </x:c>
      <x:c r="G21" s="27"/>
      <x:c r="H21" s="27"/>
      <x:c r="I21" s="28"/>
      <x:c r="J21" s="27"/>
      <x:c r="K21" s="19" t="str">
        <x:v>EB-REPORT; EB-XML; coherence/evidence/end_bent_provenance.json; coherence/evidence/2026-10-10/source_update.json</x:v>
      </x:c>
      <x:c r="L21" s="28" t="n">
        <x:v>46305</x:v>
      </x:c>
    </x:row>
    <x:row r="22" ht="116" customHeight="1">
      <x:c r="A22" s="24" t="str">
        <x:v>COH-014</x:v>
      </x:c>
      <x:c r="B22" s="27" t="str">
        <x:v>Open</x:v>
      </x:c>
      <x:c r="C22" s="25" t="str">
        <x:v>End bents</x:v>
      </x:c>
      <x:c r="D22" s="26" t="str">
        <x:v>Common controlling design basis</x:v>
      </x:c>
      <x:c r="E22" s="25" t="str">
        <x:v>D-004 common end-bent design direction is preserved. New End Bent 1 data do not establish that its actions bound End Bent 2.</x:v>
      </x:c>
      <x:c r="F22" s="25" t="str">
        <x:v>Document how the revised End Bent 1 actions bound both end bents.</x:v>
      </x:c>
      <x:c r="G22" s="27" t="str">
        <x:v>Use the common controlling end-bent design — recorded user direction, 8 October 2026.</x:v>
      </x:c>
      <x:c r="H22" s="27"/>
      <x:c r="I22" s="28"/>
      <x:c r="J22" s="27"/>
      <x:c r="K22" s="25" t="str">
        <x:v>EB-REPORT; coherence/evidence/end_bent_response_review.md, item 08; coherence/evidence/2026-10-10/source_update.json</x:v>
      </x:c>
      <x:c r="L22" s="28" t="n">
        <x:v>46305</x:v>
      </x:c>
    </x:row>
    <x:row r="23" ht="67.5" customHeight="1">
      <x:c r="A23" s="18" t="str">
        <x:v>COH-015</x:v>
      </x:c>
      <x:c r="B23" s="27" t="str">
        <x:v>Awaiting source</x:v>
      </x:c>
      <x:c r="C23" s="19" t="str">
        <x:v>Superstructure</x:v>
      </x:c>
      <x:c r="D23" s="20" t="str">
        <x:v>Mathcad companion data</x:v>
      </x:c>
      <x:c r="E23" s="19" t="str">
        <x:v>The selected worksheets name PedestrianBridge2Beam_Span1.dat and PedestrianBridge2Beam_Span2.dat. Neither file was supplied.</x:v>
      </x:c>
      <x:c r="F23" s="19" t="str">
        <x:v>Add the matching .dat files and verify the worksheets load the intended project inputs.</x:v>
      </x:c>
      <x:c r="G23" s="27"/>
      <x:c r="H23" s="27"/>
      <x:c r="I23" s="28"/>
      <x:c r="J23" s="27"/>
      <x:c r="K23" s="19" t="str">
        <x:v>MCAD-S1; MCAD-S2; MCAD-DAT1; MCAD-DAT2</x:v>
      </x:c>
      <x:c r="L23" s="28" t="n">
        <x:v>46304</x:v>
      </x:c>
    </x:row>
    <x:row r="24" ht="67.5" customHeight="1">
      <x:c r="A24" s="24" t="str">
        <x:v>COH-016</x:v>
      </x:c>
      <x:c r="B24" s="27" t="str">
        <x:v>Awaiting source</x:v>
      </x:c>
      <x:c r="C24" s="25" t="str">
        <x:v>Superstructure</x:v>
      </x:c>
      <x:c r="D24" s="26" t="str">
        <x:v>PSBeam run packages</x:v>
      </x:c>
      <x:c r="E24" s="25" t="str">
        <x:v>No native PSBeam runs or current output reports have been selected for either span.</x:v>
      </x:c>
      <x:c r="F24" s="25" t="str">
        <x:v>Add each span input/run file and matching output report, with software version and run date.</x:v>
      </x:c>
      <x:c r="G24" s="27"/>
      <x:c r="H24" s="27"/>
      <x:c r="I24" s="28"/>
      <x:c r="J24" s="27"/>
      <x:c r="K24" s="25" t="str">
        <x:v>PSB-S1; PSB-S2</x:v>
      </x:c>
      <x:c r="L24" s="28" t="n">
        <x:v>46304</x:v>
      </x:c>
    </x:row>
    <x:row r="25" ht="67.5" customHeight="1">
      <x:c r="A25" s="18" t="str">
        <x:v>COH-017</x:v>
      </x:c>
      <x:c r="B25" s="27" t="str">
        <x:v>Open</x:v>
      </x:c>
      <x:c r="C25" s="19" t="str">
        <x:v>Superstructure</x:v>
      </x:c>
      <x:c r="D25" s="20" t="str">
        <x:v>Mathcad / project comparison</x:v>
      </x:c>
      <x:c r="E25" s="19" t="str">
        <x:v>The sheets are user-selected current. A full comparison of spans, bearing offsets, loads and reactions with the journal and geometry model has not been performed.</x:v>
      </x:c>
      <x:c r="F25" s="19" t="str">
        <x:v>Recalculate with the companion data and compare inputs/outputs. Review the repeated 107.35-ft PSBeam narrative in the Span 2 sheet.</x:v>
      </x:c>
      <x:c r="G25" s="27"/>
      <x:c r="H25" s="27"/>
      <x:c r="I25" s="28"/>
      <x:c r="J25" s="27"/>
      <x:c r="K25" s="19" t="str">
        <x:v>MCAD-S1; MCAD-S2; GEOMETRY; JOURNAL</x:v>
      </x:c>
      <x:c r="L25" s="28" t="n">
        <x:v>46304</x:v>
      </x:c>
    </x:row>
    <x:row r="26" ht="116" customHeight="1">
      <x:c r="A26" s="24" t="str">
        <x:v>COH-018</x:v>
      </x:c>
      <x:c r="B26" s="27" t="str">
        <x:v>Open</x:v>
      </x:c>
      <x:c r="C26" s="25" t="str">
        <x:v>Geometry</x:v>
      </x:c>
      <x:c r="D26" s="26" t="str">
        <x:v>Complete notebook comparison</x:v>
      </x:c>
      <x:c r="E26" s="25" t="str">
        <x:v>Selected cap dimensions match the new saved cases. Geometry notebook still cites the earlier journal; full schedules, elevations, offsets and T006 wind dependencies need review.</x:v>
      </x:c>
      <x:c r="F26" s="25" t="str">
        <x:v>Reconcile complete saved geometry and derived schedules with accepted T006, documenting conventions.</x:v>
      </x:c>
      <x:c r="G26" s="27"/>
      <x:c r="H26" s="27"/>
      <x:c r="I26" s="28"/>
      <x:c r="J26" s="27"/>
      <x:c r="K26" s="25" t="str">
        <x:v>GEOMETRY; JOURNAL; ROADWAY; coherence/evidence/2026-10-10/source_update.json</x:v>
      </x:c>
      <x:c r="L26" s="28" t="n">
        <x:v>46305</x:v>
      </x:c>
    </x:row>
    <x:row r="27" ht="116" customHeight="1">
      <x:c r="A27" s="18" t="str">
        <x:v>COH-019</x:v>
      </x:c>
      <x:c r="B27" s="27" t="str">
        <x:v>Open</x:v>
      </x:c>
      <x:c r="C27" s="19" t="str">
        <x:v>Pier</x:v>
      </x:c>
      <x:c r="D27" s="19" t="str">
        <x:v>End-face U-grid pile clearance</x:v>
      </x:c>
      <x:c r="E27" s="19" t="str">
        <x:v>New pier report flags End U grid pile-envelope clearance FAIL. Displayed 2 is a failure flag; the second FAIL is the aggregate actual-cage summary.</x:v>
      </x:c>
      <x:c r="F27" s="19" t="str">
        <x:v>Review and revise the end-face U-grid detail against pile envelopes and fabrication tolerances; regenerate and verify the report.</x:v>
      </x:c>
      <x:c r="G27" s="27"/>
      <x:c r="H27" s="27"/>
      <x:c r="I27" s="28"/>
      <x:c r="J27" s="27"/>
      <x:c r="K27" s="19" t="str">
        <x:v>PIER-REPORT; PIER-CASE; coherence/evidence/2026-10-10/source_update.json</x:v>
      </x:c>
      <x:c r="L27" s="28" t="n">
        <x:v>46305</x:v>
      </x:c>
    </x:row>
    <x:row r="28" ht="116" customHeight="1">
      <x:c r="A28" s="24" t="str">
        <x:v>COH-020</x:v>
      </x:c>
      <x:c r="B28" s="27" t="str">
        <x:v>Open</x:v>
      </x:c>
      <x:c r="C28" s="25" t="str">
        <x:v>End bents</x:v>
      </x:c>
      <x:c r="D28" s="25" t="str">
        <x:v>End-face U-grid pile clearance</x:v>
      </x:c>
      <x:c r="E28" s="25" t="str">
        <x:v>New end-bent report flags End U grid pile-envelope clearance FAIL. Displayed 2 is a failure flag; the second FAIL is the aggregate actual-cage summary.</x:v>
      </x:c>
      <x:c r="F28" s="25" t="str">
        <x:v>Review and revise the end-face U-grid detail and verify it for both ends; regenerate and verify the report.</x:v>
      </x:c>
      <x:c r="G28" s="27"/>
      <x:c r="H28" s="27"/>
      <x:c r="I28" s="28"/>
      <x:c r="J28" s="27"/>
      <x:c r="K28" s="25" t="str">
        <x:v>EB-REPORT; EB-CASE; coherence/evidence/2026-10-10/source_update.json</x:v>
      </x:c>
      <x:c r="L28" s="28" t="n">
        <x:v>46305</x:v>
      </x:c>
    </x:row>
    <x:row r="29" ht="116" customHeight="1">
      <x:c r="A29" s="18" t="str">
        <x:v>COH-021</x:v>
      </x:c>
      <x:c r="B29" s="27" t="str">
        <x:v>Open</x:v>
      </x:c>
      <x:c r="C29" s="19" t="str">
        <x:v>Calculation tool</x:v>
      </x:c>
      <x:c r="D29" s="19" t="str">
        <x:v>Unregistered tool revisions</x:v>
      </x:c>
      <x:c r="E29" s="19" t="str">
        <x:v>The GitHub notebook and local working notebook both differ from the registered CAP-TOOL fingerprint. Their relationship to the supplied report export code is not established.</x:v>
      </x:c>
      <x:c r="F29" s="19" t="str">
        <x:v>Identify the report-generating tool revision, review its changes and consumers, then record an explicit adoption.</x:v>
      </x:c>
      <x:c r="G29" s="27"/>
      <x:c r="H29" s="27"/>
      <x:c r="I29" s="28"/>
      <x:c r="J29" s="27"/>
      <x:c r="K29" s="19" t="str">
        <x:v>CAP-TOOL; coherence/evidence/2026-10-10/source_update.json</x:v>
      </x:c>
      <x:c r="L29" s="28" t="n">
        <x:v>46305</x:v>
      </x:c>
    </x:row>
    <x:row r="30" ht="116" customHeight="1">
      <x:c r="A30" s="24" t="str">
        <x:v>COH-022</x:v>
      </x:c>
      <x:c r="B30" s="27" t="str">
        <x:v>Open</x:v>
      </x:c>
      <x:c r="C30" s="25" t="str">
        <x:v>Journal</x:v>
      </x:c>
      <x:c r="D30" s="25" t="str">
        <x:v>Current cap source references</x:v>
      </x:c>
      <x:c r="E30" s="25" t="str">
        <x:v>T006 journal source notes cite the prior 9 October pier report. Current project reports are the two supplied 10 October snapshots; C005 remains historical by D-003.</x:v>
      </x:c>
      <x:c r="F30" s="25" t="str">
        <x:v>Refresh journal source references through the bounded BPAD workflow when directed; preserve C005 and distinguish selected sources from accepted calculations.</x:v>
      </x:c>
      <x:c r="G30" s="27"/>
      <x:c r="H30" s="27"/>
      <x:c r="I30" s="28"/>
      <x:c r="J30" s="27"/>
      <x:c r="K30" s="25" t="str">
        <x:v>JOURNAL; PIER-REPORT; EB-REPORT; coherence/evidence/2026-10-10/source_update.json</x:v>
      </x:c>
      <x:c r="L30" s="28" t="n">
        <x:v>46305</x:v>
      </x:c>
    </x:row>
    <x:row r="31" ht="21" customHeight="1">
      <x:c r="A31" s="18"/>
      <x:c r="B31" s="27"/>
      <x:c r="C31" s="19"/>
      <x:c r="D31" s="19"/>
      <x:c r="E31" s="19"/>
      <x:c r="F31" s="19"/>
      <x:c r="G31" s="27"/>
      <x:c r="H31" s="27"/>
      <x:c r="I31" s="28"/>
      <x:c r="J31" s="27"/>
      <x:c r="K31" s="19"/>
      <x:c r="L31" s="28"/>
    </x:row>
    <x:row r="32" ht="21" customHeight="1">
      <x:c r="A32" s="24"/>
      <x:c r="B32" s="27"/>
      <x:c r="C32" s="25"/>
      <x:c r="D32" s="25"/>
      <x:c r="E32" s="25"/>
      <x:c r="F32" s="25"/>
      <x:c r="G32" s="27"/>
      <x:c r="H32" s="27"/>
      <x:c r="I32" s="28"/>
      <x:c r="J32" s="27"/>
      <x:c r="K32" s="25"/>
      <x:c r="L32" s="28"/>
    </x:row>
    <x:row r="33" ht="21" customHeight="1">
      <x:c r="A33" s="18"/>
      <x:c r="B33" s="27"/>
      <x:c r="C33" s="19"/>
      <x:c r="D33" s="19"/>
      <x:c r="E33" s="19"/>
      <x:c r="F33" s="19"/>
      <x:c r="G33" s="27"/>
      <x:c r="H33" s="27"/>
      <x:c r="I33" s="28"/>
      <x:c r="J33" s="27"/>
      <x:c r="K33" s="19"/>
      <x:c r="L33" s="28"/>
    </x:row>
    <x:row r="34" ht="21" customHeight="1">
      <x:c r="A34" s="24"/>
      <x:c r="B34" s="27"/>
      <x:c r="C34" s="25"/>
      <x:c r="D34" s="25"/>
      <x:c r="E34" s="25"/>
      <x:c r="F34" s="25"/>
      <x:c r="G34" s="27"/>
      <x:c r="H34" s="27"/>
      <x:c r="I34" s="28"/>
      <x:c r="J34" s="27"/>
      <x:c r="K34" s="25"/>
      <x:c r="L34" s="28"/>
    </x:row>
    <x:row r="35" ht="21" customHeight="1">
      <x:c r="A35" s="18"/>
      <x:c r="B35" s="27"/>
      <x:c r="C35" s="19"/>
      <x:c r="D35" s="19"/>
      <x:c r="E35" s="19"/>
      <x:c r="F35" s="19"/>
      <x:c r="G35" s="27"/>
      <x:c r="H35" s="27"/>
      <x:c r="I35" s="28"/>
      <x:c r="J35" s="27"/>
      <x:c r="K35" s="19"/>
      <x:c r="L35" s="28"/>
    </x:row>
    <x:row r="36" ht="21" customHeight="1">
      <x:c r="A36" s="24"/>
      <x:c r="B36" s="27"/>
      <x:c r="C36" s="25"/>
      <x:c r="D36" s="25"/>
      <x:c r="E36" s="25"/>
      <x:c r="F36" s="25"/>
      <x:c r="G36" s="27"/>
      <x:c r="H36" s="27"/>
      <x:c r="I36" s="28"/>
      <x:c r="J36" s="27"/>
      <x:c r="K36" s="25"/>
      <x:c r="L36" s="28"/>
    </x:row>
    <x:row r="37" ht="21" customHeight="1">
      <x:c r="A37" s="18"/>
      <x:c r="B37" s="27"/>
      <x:c r="C37" s="19"/>
      <x:c r="D37" s="19"/>
      <x:c r="E37" s="19"/>
      <x:c r="F37" s="19"/>
      <x:c r="G37" s="27"/>
      <x:c r="H37" s="27"/>
      <x:c r="I37" s="28"/>
      <x:c r="J37" s="27"/>
      <x:c r="K37" s="19"/>
      <x:c r="L37" s="28"/>
    </x:row>
    <x:row r="38" ht="21" customHeight="1">
      <x:c r="A38" s="24"/>
      <x:c r="B38" s="27"/>
      <x:c r="C38" s="25"/>
      <x:c r="D38" s="25"/>
      <x:c r="E38" s="25"/>
      <x:c r="F38" s="25"/>
      <x:c r="G38" s="27"/>
      <x:c r="H38" s="27"/>
      <x:c r="I38" s="28"/>
      <x:c r="J38" s="27"/>
      <x:c r="K38" s="25"/>
      <x:c r="L38" s="28"/>
    </x:row>
    <x:row r="39" ht="21" customHeight="1">
      <x:c r="A39" s="18"/>
      <x:c r="B39" s="27"/>
      <x:c r="C39" s="19"/>
      <x:c r="D39" s="19"/>
      <x:c r="E39" s="19"/>
      <x:c r="F39" s="19"/>
      <x:c r="G39" s="27"/>
      <x:c r="H39" s="27"/>
      <x:c r="I39" s="28"/>
      <x:c r="J39" s="27"/>
      <x:c r="K39" s="19"/>
      <x:c r="L39" s="28"/>
    </x:row>
    <x:row r="40" ht="21" customHeight="1">
      <x:c r="A40" s="24"/>
      <x:c r="B40" s="27"/>
      <x:c r="C40" s="25"/>
      <x:c r="D40" s="25"/>
      <x:c r="E40" s="25"/>
      <x:c r="F40" s="25"/>
      <x:c r="G40" s="27"/>
      <x:c r="H40" s="27"/>
      <x:c r="I40" s="28"/>
      <x:c r="J40" s="27"/>
      <x:c r="K40" s="25"/>
      <x:c r="L40" s="28"/>
    </x:row>
    <x:row r="41" ht="21" customHeight="1">
      <x:c r="A41" s="18"/>
      <x:c r="B41" s="27"/>
      <x:c r="C41" s="19"/>
      <x:c r="D41" s="19"/>
      <x:c r="E41" s="19"/>
      <x:c r="F41" s="19"/>
      <x:c r="G41" s="27"/>
      <x:c r="H41" s="27"/>
      <x:c r="I41" s="28"/>
      <x:c r="J41" s="27"/>
      <x:c r="K41" s="19"/>
      <x:c r="L41" s="28"/>
    </x:row>
    <x:row r="42" ht="21" customHeight="1">
      <x:c r="A42" s="24"/>
      <x:c r="B42" s="27"/>
      <x:c r="C42" s="25"/>
      <x:c r="D42" s="25"/>
      <x:c r="E42" s="25"/>
      <x:c r="F42" s="25"/>
      <x:c r="G42" s="27"/>
      <x:c r="H42" s="27"/>
      <x:c r="I42" s="28"/>
      <x:c r="J42" s="27"/>
      <x:c r="K42" s="25"/>
      <x:c r="L42" s="28"/>
    </x:row>
    <x:row r="43" ht="21" customHeight="1">
      <x:c r="A43" s="18"/>
      <x:c r="B43" s="27"/>
      <x:c r="C43" s="19"/>
      <x:c r="D43" s="19"/>
      <x:c r="E43" s="19"/>
      <x:c r="F43" s="19"/>
      <x:c r="G43" s="27"/>
      <x:c r="H43" s="27"/>
      <x:c r="I43" s="28"/>
      <x:c r="J43" s="27"/>
      <x:c r="K43" s="19"/>
      <x:c r="L43" s="28"/>
    </x:row>
    <x:row r="44" ht="21" customHeight="1">
      <x:c r="A44" s="24"/>
      <x:c r="B44" s="27"/>
      <x:c r="C44" s="25"/>
      <x:c r="D44" s="25"/>
      <x:c r="E44" s="25"/>
      <x:c r="F44" s="25"/>
      <x:c r="G44" s="27"/>
      <x:c r="H44" s="27"/>
      <x:c r="I44" s="28"/>
      <x:c r="J44" s="27"/>
      <x:c r="K44" s="25"/>
      <x:c r="L44" s="28"/>
    </x:row>
    <x:row r="45" ht="21" customHeight="1">
      <x:c r="A45" s="18"/>
      <x:c r="B45" s="27"/>
      <x:c r="C45" s="19"/>
      <x:c r="D45" s="19"/>
      <x:c r="E45" s="19"/>
      <x:c r="F45" s="19"/>
      <x:c r="G45" s="27"/>
      <x:c r="H45" s="27"/>
      <x:c r="I45" s="28"/>
      <x:c r="J45" s="27"/>
      <x:c r="K45" s="19"/>
      <x:c r="L45" s="28"/>
    </x:row>
    <x:row r="46" ht="21" customHeight="1">
      <x:c r="A46" s="24"/>
      <x:c r="B46" s="27"/>
      <x:c r="C46" s="25"/>
      <x:c r="D46" s="25"/>
      <x:c r="E46" s="25"/>
      <x:c r="F46" s="25"/>
      <x:c r="G46" s="27"/>
      <x:c r="H46" s="27"/>
      <x:c r="I46" s="28"/>
      <x:c r="J46" s="27"/>
      <x:c r="K46" s="25"/>
      <x:c r="L46" s="28"/>
    </x:row>
    <x:row r="47" ht="21" customHeight="1">
      <x:c r="A47" s="18"/>
      <x:c r="B47" s="27"/>
      <x:c r="C47" s="19"/>
      <x:c r="D47" s="19"/>
      <x:c r="E47" s="19"/>
      <x:c r="F47" s="19"/>
      <x:c r="G47" s="27"/>
      <x:c r="H47" s="27"/>
      <x:c r="I47" s="28"/>
      <x:c r="J47" s="27"/>
      <x:c r="K47" s="19"/>
      <x:c r="L47" s="28"/>
    </x:row>
    <x:row r="48" ht="21" customHeight="1">
      <x:c r="A48" s="24"/>
      <x:c r="B48" s="27"/>
      <x:c r="C48" s="25"/>
      <x:c r="D48" s="25"/>
      <x:c r="E48" s="25"/>
      <x:c r="F48" s="25"/>
      <x:c r="G48" s="27"/>
      <x:c r="H48" s="27"/>
      <x:c r="I48" s="28"/>
      <x:c r="J48" s="27"/>
      <x:c r="K48" s="25"/>
      <x:c r="L48" s="28"/>
    </x:row>
    <x:row r="49" ht="21" customHeight="1">
      <x:c r="A49" s="18"/>
      <x:c r="B49" s="27"/>
      <x:c r="C49" s="19"/>
      <x:c r="D49" s="19"/>
      <x:c r="E49" s="19"/>
      <x:c r="F49" s="19"/>
      <x:c r="G49" s="27"/>
      <x:c r="H49" s="27"/>
      <x:c r="I49" s="28"/>
      <x:c r="J49" s="27"/>
      <x:c r="K49" s="19"/>
      <x:c r="L49" s="28"/>
    </x:row>
    <x:row r="50" ht="21" customHeight="1">
      <x:c r="A50" s="24"/>
      <x:c r="B50" s="27"/>
      <x:c r="C50" s="25"/>
      <x:c r="D50" s="25"/>
      <x:c r="E50" s="25"/>
      <x:c r="F50" s="25"/>
      <x:c r="G50" s="27"/>
      <x:c r="H50" s="27"/>
      <x:c r="I50" s="28"/>
      <x:c r="J50" s="27"/>
      <x:c r="K50" s="25"/>
      <x:c r="L50" s="28"/>
    </x:row>
    <x:row r="51" ht="21" customHeight="1">
      <x:c r="A51" s="18"/>
      <x:c r="B51" s="27"/>
      <x:c r="C51" s="19"/>
      <x:c r="D51" s="19"/>
      <x:c r="E51" s="19"/>
      <x:c r="F51" s="19"/>
      <x:c r="G51" s="27"/>
      <x:c r="H51" s="27"/>
      <x:c r="I51" s="28"/>
      <x:c r="J51" s="27"/>
      <x:c r="K51" s="19"/>
      <x:c r="L51" s="28"/>
    </x:row>
    <x:row r="52" ht="21" customHeight="1">
      <x:c r="A52" s="24"/>
      <x:c r="B52" s="27"/>
      <x:c r="C52" s="25"/>
      <x:c r="D52" s="25"/>
      <x:c r="E52" s="25"/>
      <x:c r="F52" s="25"/>
      <x:c r="G52" s="27"/>
      <x:c r="H52" s="27"/>
      <x:c r="I52" s="28"/>
      <x:c r="J52" s="27"/>
      <x:c r="K52" s="25"/>
      <x:c r="L52" s="28"/>
    </x:row>
    <x:row r="53" ht="21" customHeight="1">
      <x:c r="A53" s="18"/>
      <x:c r="B53" s="27"/>
      <x:c r="C53" s="19"/>
      <x:c r="D53" s="19"/>
      <x:c r="E53" s="19"/>
      <x:c r="F53" s="19"/>
      <x:c r="G53" s="27"/>
      <x:c r="H53" s="27"/>
      <x:c r="I53" s="28"/>
      <x:c r="J53" s="27"/>
      <x:c r="K53" s="19"/>
      <x:c r="L53" s="28"/>
    </x:row>
    <x:row r="54" ht="21" customHeight="1">
      <x:c r="A54" s="24"/>
      <x:c r="B54" s="27"/>
      <x:c r="C54" s="25"/>
      <x:c r="D54" s="25"/>
      <x:c r="E54" s="25"/>
      <x:c r="F54" s="25"/>
      <x:c r="G54" s="27"/>
      <x:c r="H54" s="27"/>
      <x:c r="I54" s="28"/>
      <x:c r="J54" s="27"/>
      <x:c r="K54" s="25"/>
      <x:c r="L54" s="28"/>
    </x:row>
    <x:row r="55" ht="21" customHeight="1">
      <x:c r="A55" s="18"/>
      <x:c r="B55" s="27"/>
      <x:c r="C55" s="19"/>
      <x:c r="D55" s="19"/>
      <x:c r="E55" s="19"/>
      <x:c r="F55" s="19"/>
      <x:c r="G55" s="27"/>
      <x:c r="H55" s="27"/>
      <x:c r="I55" s="28"/>
      <x:c r="J55" s="27"/>
      <x:c r="K55" s="19"/>
      <x:c r="L55" s="28"/>
    </x:row>
    <x:row r="56" ht="21" customHeight="1">
      <x:c r="A56" s="24"/>
      <x:c r="B56" s="27"/>
      <x:c r="C56" s="25"/>
      <x:c r="D56" s="25"/>
      <x:c r="E56" s="25"/>
      <x:c r="F56" s="25"/>
      <x:c r="G56" s="27"/>
      <x:c r="H56" s="27"/>
      <x:c r="I56" s="28"/>
      <x:c r="J56" s="27"/>
      <x:c r="K56" s="25"/>
      <x:c r="L56" s="28"/>
    </x:row>
    <x:row r="57" ht="21" customHeight="1">
      <x:c r="A57" s="18"/>
      <x:c r="B57" s="27"/>
      <x:c r="C57" s="19"/>
      <x:c r="D57" s="19"/>
      <x:c r="E57" s="19"/>
      <x:c r="F57" s="19"/>
      <x:c r="G57" s="27"/>
      <x:c r="H57" s="27"/>
      <x:c r="I57" s="28"/>
      <x:c r="J57" s="27"/>
      <x:c r="K57" s="19"/>
      <x:c r="L57" s="28"/>
    </x:row>
    <x:row r="58" ht="21" customHeight="1">
      <x:c r="A58" s="24"/>
      <x:c r="B58" s="27"/>
      <x:c r="C58" s="25"/>
      <x:c r="D58" s="25"/>
      <x:c r="E58" s="25"/>
      <x:c r="F58" s="25"/>
      <x:c r="G58" s="27"/>
      <x:c r="H58" s="27"/>
      <x:c r="I58" s="28"/>
      <x:c r="J58" s="27"/>
      <x:c r="K58" s="25"/>
      <x:c r="L58" s="28"/>
    </x:row>
    <x:row r="59" ht="21" customHeight="1">
      <x:c r="A59" s="18"/>
      <x:c r="B59" s="27"/>
      <x:c r="C59" s="19"/>
      <x:c r="D59" s="19"/>
      <x:c r="E59" s="19"/>
      <x:c r="F59" s="19"/>
      <x:c r="G59" s="27"/>
      <x:c r="H59" s="27"/>
      <x:c r="I59" s="28"/>
      <x:c r="J59" s="27"/>
      <x:c r="K59" s="19"/>
      <x:c r="L59" s="28"/>
    </x:row>
    <x:row r="60" ht="21" customHeight="1">
      <x:c r="A60" s="24"/>
      <x:c r="B60" s="27"/>
      <x:c r="C60" s="25"/>
      <x:c r="D60" s="25"/>
      <x:c r="E60" s="25"/>
      <x:c r="F60" s="25"/>
      <x:c r="G60" s="27"/>
      <x:c r="H60" s="27"/>
      <x:c r="I60" s="28"/>
      <x:c r="J60" s="27"/>
      <x:c r="K60" s="25"/>
      <x:c r="L60" s="28"/>
    </x:row>
    <x:row r="61" ht="21" customHeight="1">
      <x:c r="A61" s="18"/>
      <x:c r="B61" s="27"/>
      <x:c r="C61" s="19"/>
      <x:c r="D61" s="19"/>
      <x:c r="E61" s="19"/>
      <x:c r="F61" s="19"/>
      <x:c r="G61" s="27"/>
      <x:c r="H61" s="27"/>
      <x:c r="I61" s="28"/>
      <x:c r="J61" s="27"/>
      <x:c r="K61" s="19"/>
      <x:c r="L61" s="28"/>
    </x:row>
    <x:row r="62" ht="21" customHeight="1">
      <x:c r="A62" s="24"/>
      <x:c r="B62" s="27"/>
      <x:c r="C62" s="25"/>
      <x:c r="D62" s="25"/>
      <x:c r="E62" s="25"/>
      <x:c r="F62" s="25"/>
      <x:c r="G62" s="27"/>
      <x:c r="H62" s="27"/>
      <x:c r="I62" s="28"/>
      <x:c r="J62" s="27"/>
      <x:c r="K62" s="25"/>
      <x:c r="L62" s="28"/>
    </x:row>
    <x:row r="63" ht="21" customHeight="1">
      <x:c r="A63" s="18"/>
      <x:c r="B63" s="27"/>
      <x:c r="C63" s="19"/>
      <x:c r="D63" s="19"/>
      <x:c r="E63" s="19"/>
      <x:c r="F63" s="19"/>
      <x:c r="G63" s="27"/>
      <x:c r="H63" s="27"/>
      <x:c r="I63" s="28"/>
      <x:c r="J63" s="27"/>
      <x:c r="K63" s="19"/>
      <x:c r="L63" s="28"/>
    </x:row>
    <x:row r="64" ht="21" customHeight="1">
      <x:c r="A64" s="24"/>
      <x:c r="B64" s="27"/>
      <x:c r="C64" s="25"/>
      <x:c r="D64" s="25"/>
      <x:c r="E64" s="25"/>
      <x:c r="F64" s="25"/>
      <x:c r="G64" s="27"/>
      <x:c r="H64" s="27"/>
      <x:c r="I64" s="28"/>
      <x:c r="J64" s="27"/>
      <x:c r="K64" s="25"/>
      <x:c r="L64" s="28"/>
    </x:row>
    <x:row r="65" ht="21" customHeight="1">
      <x:c r="A65" s="18"/>
      <x:c r="B65" s="27"/>
      <x:c r="C65" s="19"/>
      <x:c r="D65" s="19"/>
      <x:c r="E65" s="19"/>
      <x:c r="F65" s="19"/>
      <x:c r="G65" s="27"/>
      <x:c r="H65" s="27"/>
      <x:c r="I65" s="28"/>
      <x:c r="J65" s="27"/>
      <x:c r="K65" s="19"/>
      <x:c r="L65" s="28"/>
    </x:row>
    <x:row r="66" ht="21" customHeight="1">
      <x:c r="A66" s="24"/>
      <x:c r="B66" s="27"/>
      <x:c r="C66" s="25"/>
      <x:c r="D66" s="25"/>
      <x:c r="E66" s="25"/>
      <x:c r="F66" s="25"/>
      <x:c r="G66" s="27"/>
      <x:c r="H66" s="27"/>
      <x:c r="I66" s="28"/>
      <x:c r="J66" s="27"/>
      <x:c r="K66" s="25"/>
      <x:c r="L66" s="28"/>
    </x:row>
    <x:row r="67" ht="21" customHeight="1">
      <x:c r="A67" s="18"/>
      <x:c r="B67" s="27"/>
      <x:c r="C67" s="19"/>
      <x:c r="D67" s="19"/>
      <x:c r="E67" s="19"/>
      <x:c r="F67" s="19"/>
      <x:c r="G67" s="27"/>
      <x:c r="H67" s="27"/>
      <x:c r="I67" s="28"/>
      <x:c r="J67" s="27"/>
      <x:c r="K67" s="19"/>
      <x:c r="L67" s="28"/>
    </x:row>
    <x:row r="68" ht="21" customHeight="1">
      <x:c r="A68" s="24"/>
      <x:c r="B68" s="27"/>
      <x:c r="C68" s="25"/>
      <x:c r="D68" s="25"/>
      <x:c r="E68" s="25"/>
      <x:c r="F68" s="25"/>
      <x:c r="G68" s="27"/>
      <x:c r="H68" s="27"/>
      <x:c r="I68" s="28"/>
      <x:c r="J68" s="27"/>
      <x:c r="K68" s="25"/>
      <x:c r="L68" s="28"/>
    </x:row>
    <x:row r="69">
      <x:c r="I69" s="29"/>
      <x:c r="L69" s="29"/>
    </x:row>
    <x:row r="70">
      <x:c r="I70" s="29"/>
      <x:c r="L70" s="29"/>
    </x:row>
    <x:row r="71">
      <x:c r="I71" s="29"/>
      <x:c r="L71" s="29"/>
    </x:row>
    <x:row r="72">
      <x:c r="I72" s="29"/>
      <x:c r="L72" s="29"/>
    </x:row>
    <x:row r="73">
      <x:c r="I73" s="29"/>
      <x:c r="L73" s="29"/>
    </x:row>
    <x:row r="74">
      <x:c r="I74" s="29"/>
      <x:c r="L74" s="29"/>
    </x:row>
    <x:row r="75">
      <x:c r="I75" s="29"/>
      <x:c r="L75" s="29"/>
    </x:row>
    <x:row r="76">
      <x:c r="I76" s="29"/>
      <x:c r="L76" s="29"/>
    </x:row>
    <x:row r="77">
      <x:c r="I77" s="29"/>
      <x:c r="L77" s="29"/>
    </x:row>
    <x:row r="78">
      <x:c r="I78" s="29"/>
      <x:c r="L78" s="29"/>
    </x:row>
    <x:row r="79">
      <x:c r="I79" s="29"/>
      <x:c r="L79" s="29"/>
    </x:row>
    <x:row r="80">
      <x:c r="I80" s="29"/>
      <x:c r="L80" s="29"/>
    </x:row>
    <x:row r="81">
      <x:c r="I81" s="29"/>
      <x:c r="L81" s="29"/>
    </x:row>
    <x:row r="82">
      <x:c r="I82" s="29"/>
      <x:c r="L82" s="29"/>
    </x:row>
    <x:row r="83">
      <x:c r="I83" s="29"/>
      <x:c r="L83" s="29"/>
    </x:row>
    <x:row r="84">
      <x:c r="I84" s="29"/>
      <x:c r="L84" s="29"/>
    </x:row>
    <x:row r="85">
      <x:c r="I85" s="29"/>
      <x:c r="L85" s="29"/>
    </x:row>
    <x:row r="86">
      <x:c r="I86" s="29"/>
      <x:c r="L86" s="29"/>
    </x:row>
    <x:row r="87">
      <x:c r="I87" s="29"/>
      <x:c r="L87" s="29"/>
    </x:row>
    <x:row r="88">
      <x:c r="I88" s="29"/>
      <x:c r="L88" s="29"/>
    </x:row>
    <x:row r="89">
      <x:c r="I89" s="29"/>
      <x:c r="L89" s="29"/>
    </x:row>
    <x:row r="90">
      <x:c r="I90" s="29"/>
      <x:c r="L90" s="29"/>
    </x:row>
    <x:row r="91">
      <x:c r="I91" s="29"/>
      <x:c r="L91" s="29"/>
    </x:row>
    <x:row r="92">
      <x:c r="I92" s="29"/>
      <x:c r="L92" s="29"/>
    </x:row>
    <x:row r="93">
      <x:c r="I93" s="29"/>
      <x:c r="L93" s="29"/>
    </x:row>
    <x:row r="94">
      <x:c r="I94" s="29"/>
      <x:c r="L94" s="29"/>
    </x:row>
    <x:row r="95">
      <x:c r="I95" s="29"/>
      <x:c r="L95" s="29"/>
    </x:row>
    <x:row r="96">
      <x:c r="I96" s="29"/>
      <x:c r="L96" s="29"/>
    </x:row>
    <x:row r="97">
      <x:c r="I97" s="29"/>
      <x:c r="L97" s="29"/>
    </x:row>
    <x:row r="98">
      <x:c r="I98" s="29"/>
      <x:c r="L98" s="29"/>
    </x:row>
    <x:row r="99">
      <x:c r="I99" s="29"/>
      <x:c r="L99" s="29"/>
    </x:row>
    <x:row r="100">
      <x:c r="I100" s="29"/>
      <x:c r="L100" s="29"/>
    </x:row>
    <x:row r="101">
      <x:c r="I101" s="29"/>
      <x:c r="L101" s="29"/>
    </x:row>
    <x:row r="102">
      <x:c r="I102" s="29"/>
      <x:c r="L102" s="29"/>
    </x:row>
    <x:row r="103">
      <x:c r="I103" s="29"/>
      <x:c r="L103" s="29"/>
    </x:row>
    <x:row r="104">
      <x:c r="I104" s="29"/>
      <x:c r="L104" s="29"/>
    </x:row>
    <x:row r="105">
      <x:c r="I105" s="29"/>
      <x:c r="L105" s="29"/>
    </x:row>
    <x:row r="106">
      <x:c r="I106" s="29"/>
      <x:c r="L106" s="29"/>
    </x:row>
    <x:row r="107">
      <x:c r="I107" s="29"/>
      <x:c r="L107" s="29"/>
    </x:row>
    <x:row r="108">
      <x:c r="I108" s="29"/>
      <x:c r="L108" s="29"/>
    </x:row>
    <x:row r="109">
      <x:c r="I109" s="29"/>
      <x:c r="L109" s="29"/>
    </x:row>
    <x:row r="110">
      <x:c r="I110" s="29"/>
      <x:c r="L110" s="29"/>
    </x:row>
    <x:row r="111">
      <x:c r="I111" s="29"/>
      <x:c r="L111" s="29"/>
    </x:row>
    <x:row r="112">
      <x:c r="I112" s="29"/>
      <x:c r="L112" s="29"/>
    </x:row>
    <x:row r="113">
      <x:c r="I113" s="29"/>
      <x:c r="L113" s="29"/>
    </x:row>
    <x:row r="114">
      <x:c r="I114" s="29"/>
      <x:c r="L114" s="29"/>
    </x:row>
    <x:row r="115">
      <x:c r="I115" s="29"/>
      <x:c r="L115" s="29"/>
    </x:row>
    <x:row r="116">
      <x:c r="I116" s="29"/>
      <x:c r="L116" s="29"/>
    </x:row>
    <x:row r="117">
      <x:c r="I117" s="29"/>
      <x:c r="L117" s="29"/>
    </x:row>
    <x:row r="118">
      <x:c r="I118" s="29"/>
      <x:c r="L118" s="29"/>
    </x:row>
    <x:row r="119">
      <x:c r="I119" s="29"/>
      <x:c r="L119" s="29"/>
    </x:row>
    <x:row r="120">
      <x:c r="I120" s="29"/>
      <x:c r="L120" s="29"/>
    </x:row>
    <x:row r="121">
      <x:c r="I121" s="29"/>
      <x:c r="L121" s="29"/>
    </x:row>
    <x:row r="122">
      <x:c r="I122" s="29"/>
      <x:c r="L122" s="29"/>
    </x:row>
    <x:row r="123">
      <x:c r="I123" s="29"/>
      <x:c r="L123" s="29"/>
    </x:row>
    <x:row r="124">
      <x:c r="I124" s="29"/>
      <x:c r="L124" s="29"/>
    </x:row>
    <x:row r="125">
      <x:c r="I125" s="29"/>
      <x:c r="L125" s="29"/>
    </x:row>
    <x:row r="126">
      <x:c r="I126" s="29"/>
      <x:c r="L126" s="29"/>
    </x:row>
    <x:row r="127">
      <x:c r="I127" s="29"/>
      <x:c r="L127" s="29"/>
    </x:row>
    <x:row r="128">
      <x:c r="I128" s="29"/>
      <x:c r="L128" s="29"/>
    </x:row>
    <x:row r="129">
      <x:c r="I129" s="29"/>
      <x:c r="L129" s="29"/>
    </x:row>
    <x:row r="130">
      <x:c r="I130" s="29"/>
      <x:c r="L130" s="29"/>
    </x:row>
    <x:row r="131">
      <x:c r="I131" s="29"/>
      <x:c r="L131" s="29"/>
    </x:row>
    <x:row r="132">
      <x:c r="I132" s="29"/>
      <x:c r="L132" s="29"/>
    </x:row>
    <x:row r="133">
      <x:c r="I133" s="29"/>
      <x:c r="L133" s="29"/>
    </x:row>
    <x:row r="134">
      <x:c r="I134" s="29"/>
      <x:c r="L134" s="29"/>
    </x:row>
    <x:row r="135">
      <x:c r="I135" s="29"/>
      <x:c r="L135" s="29"/>
    </x:row>
    <x:row r="136">
      <x:c r="I136" s="29"/>
      <x:c r="L136" s="29"/>
    </x:row>
    <x:row r="137">
      <x:c r="I137" s="29"/>
      <x:c r="L137" s="29"/>
    </x:row>
    <x:row r="138">
      <x:c r="I138" s="29"/>
      <x:c r="L138" s="29"/>
    </x:row>
    <x:row r="139">
      <x:c r="I139" s="29"/>
      <x:c r="L139" s="29"/>
    </x:row>
    <x:row r="140">
      <x:c r="I140" s="29"/>
      <x:c r="L140" s="29"/>
    </x:row>
    <x:row r="141">
      <x:c r="I141" s="29"/>
      <x:c r="L141" s="29"/>
    </x:row>
    <x:row r="142">
      <x:c r="I142" s="29"/>
      <x:c r="L142" s="29"/>
    </x:row>
    <x:row r="143">
      <x:c r="I143" s="29"/>
      <x:c r="L143" s="29"/>
    </x:row>
    <x:row r="144">
      <x:c r="I144" s="29"/>
      <x:c r="L144" s="29"/>
    </x:row>
    <x:row r="145">
      <x:c r="I145" s="29"/>
      <x:c r="L145" s="29"/>
    </x:row>
    <x:row r="146">
      <x:c r="I146" s="29"/>
      <x:c r="L146" s="29"/>
    </x:row>
    <x:row r="147">
      <x:c r="I147" s="29"/>
      <x:c r="L147" s="29"/>
    </x:row>
    <x:row r="148">
      <x:c r="I148" s="29"/>
      <x:c r="L148" s="29"/>
    </x:row>
    <x:row r="149">
      <x:c r="I149" s="29"/>
      <x:c r="L149" s="29"/>
    </x:row>
    <x:row r="150">
      <x:c r="I150" s="29"/>
      <x:c r="L150" s="29"/>
    </x:row>
    <x:row r="151">
      <x:c r="I151" s="29"/>
      <x:c r="L151" s="29"/>
    </x:row>
    <x:row r="152">
      <x:c r="I152" s="29"/>
      <x:c r="L152" s="29"/>
    </x:row>
    <x:row r="153">
      <x:c r="I153" s="29"/>
      <x:c r="L153" s="29"/>
    </x:row>
    <x:row r="154">
      <x:c r="I154" s="29"/>
      <x:c r="L154" s="29"/>
    </x:row>
    <x:row r="155">
      <x:c r="I155" s="29"/>
      <x:c r="L155" s="29"/>
    </x:row>
    <x:row r="156">
      <x:c r="I156" s="29"/>
      <x:c r="L156" s="29"/>
    </x:row>
    <x:row r="157">
      <x:c r="I157" s="29"/>
      <x:c r="L157" s="29"/>
    </x:row>
    <x:row r="158">
      <x:c r="I158" s="29"/>
      <x:c r="L158" s="29"/>
    </x:row>
    <x:row r="159">
      <x:c r="I159" s="29"/>
      <x:c r="L159" s="29"/>
    </x:row>
    <x:row r="160">
      <x:c r="I160" s="29"/>
      <x:c r="L160" s="29"/>
    </x:row>
    <x:row r="161">
      <x:c r="I161" s="29"/>
      <x:c r="L161" s="29"/>
    </x:row>
    <x:row r="162">
      <x:c r="I162" s="29"/>
      <x:c r="L162" s="29"/>
    </x:row>
    <x:row r="163">
      <x:c r="I163" s="29"/>
      <x:c r="L163" s="29"/>
    </x:row>
    <x:row r="164">
      <x:c r="I164" s="29"/>
      <x:c r="L164" s="29"/>
    </x:row>
    <x:row r="165">
      <x:c r="I165" s="29"/>
      <x:c r="L165" s="29"/>
    </x:row>
    <x:row r="166">
      <x:c r="I166" s="29"/>
      <x:c r="L166" s="29"/>
    </x:row>
    <x:row r="167">
      <x:c r="I167" s="29"/>
      <x:c r="L167" s="29"/>
    </x:row>
    <x:row r="168">
      <x:c r="I168" s="29"/>
      <x:c r="L168" s="29"/>
    </x:row>
    <x:row r="169">
      <x:c r="I169" s="29"/>
      <x:c r="L169" s="29"/>
    </x:row>
    <x:row r="170">
      <x:c r="I170" s="29"/>
      <x:c r="L170" s="29"/>
    </x:row>
    <x:row r="171">
      <x:c r="I171" s="29"/>
      <x:c r="L171" s="29"/>
    </x:row>
    <x:row r="172">
      <x:c r="I172" s="29"/>
      <x:c r="L172" s="29"/>
    </x:row>
    <x:row r="173">
      <x:c r="I173" s="29"/>
      <x:c r="L173" s="29"/>
    </x:row>
    <x:row r="174">
      <x:c r="I174" s="29"/>
      <x:c r="L174" s="29"/>
    </x:row>
    <x:row r="175">
      <x:c r="I175" s="29"/>
      <x:c r="L175" s="29"/>
    </x:row>
    <x:row r="176">
      <x:c r="I176" s="29"/>
      <x:c r="L176" s="29"/>
    </x:row>
    <x:row r="177">
      <x:c r="I177" s="29"/>
      <x:c r="L177" s="29"/>
    </x:row>
    <x:row r="178">
      <x:c r="I178" s="29"/>
      <x:c r="L178" s="29"/>
    </x:row>
    <x:row r="179">
      <x:c r="I179" s="29"/>
      <x:c r="L179" s="29"/>
    </x:row>
    <x:row r="180">
      <x:c r="I180" s="29"/>
      <x:c r="L180" s="29"/>
    </x:row>
    <x:row r="181">
      <x:c r="I181" s="29"/>
      <x:c r="L181" s="29"/>
    </x:row>
    <x:row r="182">
      <x:c r="I182" s="29"/>
      <x:c r="L182" s="29"/>
    </x:row>
    <x:row r="183">
      <x:c r="I183" s="29"/>
      <x:c r="L183" s="29"/>
    </x:row>
    <x:row r="184">
      <x:c r="I184" s="29"/>
      <x:c r="L184" s="29"/>
    </x:row>
    <x:row r="185">
      <x:c r="I185" s="29"/>
      <x:c r="L185" s="29"/>
    </x:row>
    <x:row r="186">
      <x:c r="I186" s="29"/>
      <x:c r="L186" s="29"/>
    </x:row>
    <x:row r="187">
      <x:c r="I187" s="29"/>
      <x:c r="L187" s="29"/>
    </x:row>
    <x:row r="188">
      <x:c r="I188" s="29"/>
      <x:c r="L188" s="29"/>
    </x:row>
    <x:row r="189">
      <x:c r="I189" s="29"/>
      <x:c r="L189" s="29"/>
    </x:row>
    <x:row r="190">
      <x:c r="I190" s="29"/>
      <x:c r="L190" s="29"/>
    </x:row>
    <x:row r="191">
      <x:c r="I191" s="29"/>
      <x:c r="L191" s="29"/>
    </x:row>
    <x:row r="192">
      <x:c r="I192" s="29"/>
      <x:c r="L192" s="29"/>
    </x:row>
    <x:row r="193">
      <x:c r="I193" s="29"/>
      <x:c r="L193" s="29"/>
    </x:row>
    <x:row r="194">
      <x:c r="I194" s="29"/>
      <x:c r="L194" s="29"/>
    </x:row>
    <x:row r="195">
      <x:c r="I195" s="29"/>
      <x:c r="L195" s="29"/>
    </x:row>
    <x:row r="196">
      <x:c r="I196" s="29"/>
      <x:c r="L196" s="29"/>
    </x:row>
    <x:row r="197">
      <x:c r="I197" s="29"/>
      <x:c r="L197" s="29"/>
    </x:row>
    <x:row r="198">
      <x:c r="I198" s="29"/>
      <x:c r="L198" s="29"/>
    </x:row>
    <x:row r="199">
      <x:c r="I199" s="29"/>
      <x:c r="L199" s="29"/>
    </x:row>
    <x:row r="200">
      <x:c r="I200" s="29"/>
      <x:c r="L200" s="29"/>
    </x:row>
    <x:row r="201">
      <x:c r="I201" s="29"/>
      <x:c r="L201" s="29"/>
    </x:row>
    <x:row r="202">
      <x:c r="I202" s="29"/>
      <x:c r="L202" s="29"/>
    </x:row>
    <x:row r="203">
      <x:c r="I203" s="29"/>
      <x:c r="L203" s="29"/>
    </x:row>
    <x:row r="204">
      <x:c r="I204" s="29"/>
      <x:c r="L204" s="29"/>
    </x:row>
    <x:row r="205">
      <x:c r="I205" s="29"/>
      <x:c r="L205" s="29"/>
    </x:row>
    <x:row r="206">
      <x:c r="I206" s="29"/>
      <x:c r="L206" s="29"/>
    </x:row>
    <x:row r="207">
      <x:c r="I207" s="29"/>
      <x:c r="L207" s="29"/>
    </x:row>
    <x:row r="208">
      <x:c r="I208" s="29"/>
      <x:c r="L208" s="29"/>
    </x:row>
    <x:row r="209">
      <x:c r="I209" s="29"/>
      <x:c r="L209" s="29"/>
    </x:row>
    <x:row r="210">
      <x:c r="I210" s="29"/>
      <x:c r="L210" s="29"/>
    </x:row>
    <x:row r="211">
      <x:c r="I211" s="29"/>
      <x:c r="L211" s="29"/>
    </x:row>
    <x:row r="212">
      <x:c r="I212" s="29"/>
      <x:c r="L212" s="29"/>
    </x:row>
    <x:row r="213">
      <x:c r="I213" s="29"/>
      <x:c r="L213" s="29"/>
    </x:row>
    <x:row r="214">
      <x:c r="I214" s="29"/>
      <x:c r="L214" s="29"/>
    </x:row>
    <x:row r="215">
      <x:c r="I215" s="29"/>
      <x:c r="L215" s="29"/>
    </x:row>
    <x:row r="216">
      <x:c r="I216" s="29"/>
      <x:c r="L216" s="29"/>
    </x:row>
    <x:row r="217">
      <x:c r="I217" s="29"/>
      <x:c r="L217" s="29"/>
    </x:row>
    <x:row r="218">
      <x:c r="I218" s="29"/>
      <x:c r="L218" s="29"/>
    </x:row>
    <x:row r="219">
      <x:c r="I219" s="29"/>
      <x:c r="L219" s="29"/>
    </x:row>
    <x:row r="220">
      <x:c r="I220" s="29"/>
      <x:c r="L220" s="29"/>
    </x:row>
    <x:row r="221">
      <x:c r="I221" s="29"/>
      <x:c r="L221" s="29"/>
    </x:row>
    <x:row r="222">
      <x:c r="I222" s="29"/>
      <x:c r="L222" s="29"/>
    </x:row>
    <x:row r="223">
      <x:c r="I223" s="29"/>
      <x:c r="L223" s="29"/>
    </x:row>
    <x:row r="224">
      <x:c r="I224" s="29"/>
      <x:c r="L224" s="29"/>
    </x:row>
    <x:row r="225">
      <x:c r="I225" s="29"/>
      <x:c r="L225" s="29"/>
    </x:row>
    <x:row r="226">
      <x:c r="I226" s="29"/>
      <x:c r="L226" s="29"/>
    </x:row>
    <x:row r="227">
      <x:c r="I227" s="29"/>
      <x:c r="L227" s="29"/>
    </x:row>
    <x:row r="228">
      <x:c r="I228" s="29"/>
      <x:c r="L228" s="29"/>
    </x:row>
    <x:row r="229">
      <x:c r="I229" s="29"/>
      <x:c r="L229" s="29"/>
    </x:row>
    <x:row r="230">
      <x:c r="I230" s="29"/>
      <x:c r="L230" s="29"/>
    </x:row>
    <x:row r="231">
      <x:c r="I231" s="29"/>
      <x:c r="L231" s="29"/>
    </x:row>
    <x:row r="232">
      <x:c r="I232" s="29"/>
      <x:c r="L232" s="29"/>
    </x:row>
    <x:row r="233">
      <x:c r="I233" s="29"/>
      <x:c r="L233" s="29"/>
    </x:row>
    <x:row r="234">
      <x:c r="I234" s="29"/>
      <x:c r="L234" s="29"/>
    </x:row>
    <x:row r="235">
      <x:c r="I235" s="29"/>
      <x:c r="L235" s="29"/>
    </x:row>
    <x:row r="236">
      <x:c r="I236" s="29"/>
      <x:c r="L236" s="29"/>
    </x:row>
    <x:row r="237">
      <x:c r="I237" s="29"/>
      <x:c r="L237" s="29"/>
    </x:row>
    <x:row r="238">
      <x:c r="I238" s="29"/>
      <x:c r="L238" s="29"/>
    </x:row>
    <x:row r="239">
      <x:c r="I239" s="29"/>
      <x:c r="L239" s="29"/>
    </x:row>
    <x:row r="240">
      <x:c r="I240" s="29"/>
      <x:c r="L240" s="29"/>
    </x:row>
    <x:row r="241">
      <x:c r="I241" s="29"/>
      <x:c r="L241" s="29"/>
    </x:row>
    <x:row r="242">
      <x:c r="I242" s="29"/>
      <x:c r="L242" s="29"/>
    </x:row>
    <x:row r="243">
      <x:c r="I243" s="29"/>
      <x:c r="L243" s="29"/>
    </x:row>
    <x:row r="244">
      <x:c r="I244" s="29"/>
      <x:c r="L244" s="29"/>
    </x:row>
    <x:row r="245">
      <x:c r="I245" s="29"/>
      <x:c r="L245" s="29"/>
    </x:row>
    <x:row r="246">
      <x:c r="I246" s="29"/>
      <x:c r="L246" s="29"/>
    </x:row>
    <x:row r="247">
      <x:c r="I247" s="29"/>
      <x:c r="L247" s="29"/>
    </x:row>
    <x:row r="248">
      <x:c r="I248" s="29"/>
      <x:c r="L248" s="29"/>
    </x:row>
    <x:row r="249">
      <x:c r="I249" s="29"/>
      <x:c r="L249" s="29"/>
    </x:row>
    <x:row r="250">
      <x:c r="I250" s="29"/>
      <x:c r="L250" s="29"/>
    </x:row>
    <x:row r="251">
      <x:c r="I251" s="29"/>
      <x:c r="L251" s="29"/>
    </x:row>
    <x:row r="252">
      <x:c r="I252" s="29"/>
      <x:c r="L252" s="29"/>
    </x:row>
    <x:row r="253">
      <x:c r="I253" s="29"/>
      <x:c r="L253" s="29"/>
    </x:row>
    <x:row r="254">
      <x:c r="I254" s="29"/>
      <x:c r="L254" s="29"/>
    </x:row>
    <x:row r="255">
      <x:c r="I255" s="29"/>
      <x:c r="L255" s="29"/>
    </x:row>
    <x:row r="256">
      <x:c r="I256" s="29"/>
      <x:c r="L256" s="29"/>
    </x:row>
    <x:row r="257">
      <x:c r="I257" s="29"/>
      <x:c r="L257" s="29"/>
    </x:row>
    <x:row r="258">
      <x:c r="I258" s="29"/>
      <x:c r="L258" s="29"/>
    </x:row>
    <x:row r="259">
      <x:c r="I259" s="29"/>
      <x:c r="L259" s="29"/>
    </x:row>
    <x:row r="260">
      <x:c r="I260" s="29"/>
      <x:c r="L260" s="29"/>
    </x:row>
    <x:row r="261">
      <x:c r="I261" s="29"/>
      <x:c r="L261" s="29"/>
    </x:row>
    <x:row r="262">
      <x:c r="I262" s="29"/>
      <x:c r="L262" s="29"/>
    </x:row>
    <x:row r="263">
      <x:c r="I263" s="29"/>
      <x:c r="L263" s="29"/>
    </x:row>
    <x:row r="264">
      <x:c r="I264" s="29"/>
      <x:c r="L264" s="29"/>
    </x:row>
    <x:row r="265">
      <x:c r="I265" s="29"/>
      <x:c r="L265" s="29"/>
    </x:row>
    <x:row r="266">
      <x:c r="I266" s="29"/>
      <x:c r="L266" s="29"/>
    </x:row>
    <x:row r="267">
      <x:c r="I267" s="29"/>
      <x:c r="L267" s="29"/>
    </x:row>
    <x:row r="268">
      <x:c r="I268" s="29"/>
      <x:c r="L268" s="29"/>
    </x:row>
    <x:row r="269">
      <x:c r="I269" s="29"/>
      <x:c r="L269" s="29"/>
    </x:row>
    <x:row r="270">
      <x:c r="I270" s="29"/>
      <x:c r="L270" s="29"/>
    </x:row>
    <x:row r="271">
      <x:c r="I271" s="29"/>
      <x:c r="L271" s="29"/>
    </x:row>
    <x:row r="272">
      <x:c r="I272" s="29"/>
      <x:c r="L272" s="29"/>
    </x:row>
    <x:row r="273">
      <x:c r="I273" s="29"/>
      <x:c r="L273" s="29"/>
    </x:row>
    <x:row r="274">
      <x:c r="I274" s="29"/>
      <x:c r="L274" s="29"/>
    </x:row>
    <x:row r="275">
      <x:c r="I275" s="29"/>
      <x:c r="L275" s="29"/>
    </x:row>
    <x:row r="276">
      <x:c r="I276" s="29"/>
      <x:c r="L276" s="29"/>
    </x:row>
    <x:row r="277">
      <x:c r="I277" s="29"/>
      <x:c r="L277" s="29"/>
    </x:row>
    <x:row r="278">
      <x:c r="I278" s="29"/>
      <x:c r="L278" s="29"/>
    </x:row>
    <x:row r="279">
      <x:c r="I279" s="29"/>
      <x:c r="L279" s="29"/>
    </x:row>
    <x:row r="280">
      <x:c r="I280" s="29"/>
      <x:c r="L280" s="29"/>
    </x:row>
    <x:row r="281">
      <x:c r="I281" s="29"/>
      <x:c r="L281" s="29"/>
    </x:row>
    <x:row r="282">
      <x:c r="I282" s="29"/>
      <x:c r="L282" s="29"/>
    </x:row>
    <x:row r="283">
      <x:c r="I283" s="29"/>
      <x:c r="L283" s="29"/>
    </x:row>
    <x:row r="284">
      <x:c r="I284" s="29"/>
      <x:c r="L284" s="29"/>
    </x:row>
    <x:row r="285">
      <x:c r="I285" s="29"/>
      <x:c r="L285" s="29"/>
    </x:row>
    <x:row r="286">
      <x:c r="I286" s="29"/>
      <x:c r="L286" s="29"/>
    </x:row>
    <x:row r="287">
      <x:c r="I287" s="29"/>
      <x:c r="L287" s="29"/>
    </x:row>
    <x:row r="288">
      <x:c r="I288" s="29"/>
      <x:c r="L288" s="29"/>
    </x:row>
    <x:row r="289">
      <x:c r="I289" s="29"/>
      <x:c r="L289" s="29"/>
    </x:row>
    <x:row r="290">
      <x:c r="I290" s="29"/>
      <x:c r="L290" s="29"/>
    </x:row>
    <x:row r="291">
      <x:c r="I291" s="29"/>
      <x:c r="L291" s="29"/>
    </x:row>
    <x:row r="292">
      <x:c r="I292" s="29"/>
      <x:c r="L292" s="29"/>
    </x:row>
    <x:row r="293">
      <x:c r="I293" s="29"/>
      <x:c r="L293" s="29"/>
    </x:row>
    <x:row r="294">
      <x:c r="I294" s="29"/>
      <x:c r="L294" s="29"/>
    </x:row>
    <x:row r="295">
      <x:c r="I295" s="29"/>
      <x:c r="L295" s="29"/>
    </x:row>
    <x:row r="296">
      <x:c r="I296" s="29"/>
      <x:c r="L296" s="29"/>
    </x:row>
    <x:row r="297">
      <x:c r="I297" s="29"/>
      <x:c r="L297" s="29"/>
    </x:row>
    <x:row r="298">
      <x:c r="I298" s="29"/>
      <x:c r="L298" s="29"/>
    </x:row>
    <x:row r="299">
      <x:c r="I299" s="29"/>
      <x:c r="L299" s="29"/>
    </x:row>
    <x:row r="300">
      <x:c r="I300" s="29"/>
      <x:c r="L300" s="29"/>
    </x:row>
    <x:row r="301">
      <x:c r="I301" s="29"/>
      <x:c r="L301" s="29"/>
    </x:row>
    <x:row r="302">
      <x:c r="I302" s="29"/>
      <x:c r="L302" s="29"/>
    </x:row>
    <x:row r="303">
      <x:c r="I303" s="29"/>
      <x:c r="L303" s="29"/>
    </x:row>
    <x:row r="304">
      <x:c r="I304" s="29"/>
      <x:c r="L304" s="29"/>
    </x:row>
    <x:row r="305">
      <x:c r="I305" s="29"/>
      <x:c r="L305" s="29"/>
    </x:row>
    <x:row r="306">
      <x:c r="I306" s="29"/>
      <x:c r="L306" s="29"/>
    </x:row>
    <x:row r="307">
      <x:c r="I307" s="29"/>
      <x:c r="L307" s="29"/>
    </x:row>
    <x:row r="308">
      <x:c r="I308" s="29"/>
      <x:c r="L308" s="29"/>
    </x:row>
    <x:row r="309">
      <x:c r="I309" s="29"/>
      <x:c r="L309" s="29"/>
    </x:row>
    <x:row r="310">
      <x:c r="I310" s="29"/>
      <x:c r="L310" s="29"/>
    </x:row>
    <x:row r="311">
      <x:c r="I311" s="29"/>
      <x:c r="L311" s="29"/>
    </x:row>
    <x:row r="312">
      <x:c r="I312" s="29"/>
      <x:c r="L312" s="29"/>
    </x:row>
    <x:row r="313">
      <x:c r="I313" s="29"/>
      <x:c r="L313" s="29"/>
    </x:row>
    <x:row r="314">
      <x:c r="I314" s="29"/>
      <x:c r="L314" s="29"/>
    </x:row>
    <x:row r="315">
      <x:c r="I315" s="29"/>
      <x:c r="L315" s="29"/>
    </x:row>
    <x:row r="316">
      <x:c r="I316" s="29"/>
      <x:c r="L316" s="29"/>
    </x:row>
    <x:row r="317">
      <x:c r="I317" s="29"/>
      <x:c r="L317" s="29"/>
    </x:row>
    <x:row r="318">
      <x:c r="I318" s="29"/>
      <x:c r="L318" s="29"/>
    </x:row>
    <x:row r="319">
      <x:c r="I319" s="29"/>
      <x:c r="L319" s="29"/>
    </x:row>
    <x:row r="320">
      <x:c r="I320" s="29"/>
      <x:c r="L320" s="29"/>
    </x:row>
    <x:row r="321">
      <x:c r="I321" s="29"/>
      <x:c r="L321" s="29"/>
    </x:row>
    <x:row r="322">
      <x:c r="I322" s="29"/>
      <x:c r="L322" s="29"/>
    </x:row>
    <x:row r="323">
      <x:c r="I323" s="29"/>
      <x:c r="L323" s="29"/>
    </x:row>
    <x:row r="324">
      <x:c r="I324" s="29"/>
      <x:c r="L324" s="29"/>
    </x:row>
    <x:row r="325">
      <x:c r="I325" s="29"/>
      <x:c r="L325" s="29"/>
    </x:row>
    <x:row r="326">
      <x:c r="I326" s="29"/>
      <x:c r="L326" s="29"/>
    </x:row>
    <x:row r="327">
      <x:c r="I327" s="29"/>
      <x:c r="L327" s="29"/>
    </x:row>
    <x:row r="328">
      <x:c r="I328" s="29"/>
      <x:c r="L328" s="29"/>
    </x:row>
    <x:row r="329">
      <x:c r="I329" s="29"/>
      <x:c r="L329" s="29"/>
    </x:row>
    <x:row r="330">
      <x:c r="I330" s="29"/>
      <x:c r="L330" s="29"/>
    </x:row>
    <x:row r="331">
      <x:c r="I331" s="29"/>
      <x:c r="L331" s="29"/>
    </x:row>
    <x:row r="332">
      <x:c r="I332" s="29"/>
      <x:c r="L332" s="29"/>
    </x:row>
    <x:row r="333">
      <x:c r="I333" s="29"/>
      <x:c r="L333" s="29"/>
    </x:row>
    <x:row r="334">
      <x:c r="I334" s="29"/>
      <x:c r="L334" s="29"/>
    </x:row>
    <x:row r="335">
      <x:c r="I335" s="29"/>
      <x:c r="L335" s="29"/>
    </x:row>
    <x:row r="336">
      <x:c r="I336" s="29"/>
      <x:c r="L336" s="29"/>
    </x:row>
    <x:row r="337">
      <x:c r="I337" s="29"/>
      <x:c r="L337" s="29"/>
    </x:row>
    <x:row r="338">
      <x:c r="I338" s="29"/>
      <x:c r="L338" s="29"/>
    </x:row>
    <x:row r="339">
      <x:c r="I339" s="29"/>
      <x:c r="L339" s="29"/>
    </x:row>
    <x:row r="340">
      <x:c r="I340" s="29"/>
      <x:c r="L340" s="29"/>
    </x:row>
    <x:row r="341">
      <x:c r="I341" s="29"/>
      <x:c r="L341" s="29"/>
    </x:row>
    <x:row r="342">
      <x:c r="I342" s="29"/>
      <x:c r="L342" s="29"/>
    </x:row>
    <x:row r="343">
      <x:c r="I343" s="29"/>
      <x:c r="L343" s="29"/>
    </x:row>
    <x:row r="344">
      <x:c r="I344" s="29"/>
      <x:c r="L344" s="29"/>
    </x:row>
    <x:row r="345">
      <x:c r="I345" s="29"/>
      <x:c r="L345" s="29"/>
    </x:row>
    <x:row r="346">
      <x:c r="I346" s="29"/>
      <x:c r="L346" s="29"/>
    </x:row>
    <x:row r="347">
      <x:c r="I347" s="29"/>
      <x:c r="L347" s="29"/>
    </x:row>
    <x:row r="348">
      <x:c r="I348" s="29"/>
      <x:c r="L348" s="29"/>
    </x:row>
    <x:row r="349">
      <x:c r="I349" s="29"/>
      <x:c r="L349" s="29"/>
    </x:row>
    <x:row r="350">
      <x:c r="I350" s="29"/>
      <x:c r="L350" s="29"/>
    </x:row>
    <x:row r="351">
      <x:c r="I351" s="29"/>
      <x:c r="L351" s="29"/>
    </x:row>
    <x:row r="352">
      <x:c r="I352" s="29"/>
      <x:c r="L352" s="29"/>
    </x:row>
    <x:row r="353">
      <x:c r="I353" s="29"/>
      <x:c r="L353" s="29"/>
    </x:row>
    <x:row r="354">
      <x:c r="I354" s="29"/>
      <x:c r="L354" s="29"/>
    </x:row>
    <x:row r="355">
      <x:c r="I355" s="29"/>
      <x:c r="L355" s="29"/>
    </x:row>
    <x:row r="356">
      <x:c r="I356" s="29"/>
      <x:c r="L356" s="29"/>
    </x:row>
    <x:row r="357">
      <x:c r="I357" s="29"/>
      <x:c r="L357" s="29"/>
    </x:row>
    <x:row r="358">
      <x:c r="I358" s="29"/>
      <x:c r="L358" s="29"/>
    </x:row>
    <x:row r="359">
      <x:c r="I359" s="29"/>
      <x:c r="L359" s="29"/>
    </x:row>
    <x:row r="360">
      <x:c r="I360" s="29"/>
      <x:c r="L360" s="29"/>
    </x:row>
    <x:row r="361">
      <x:c r="I361" s="29"/>
      <x:c r="L361" s="29"/>
    </x:row>
    <x:row r="362">
      <x:c r="I362" s="29"/>
      <x:c r="L362" s="29"/>
    </x:row>
    <x:row r="363">
      <x:c r="I363" s="29"/>
      <x:c r="L363" s="29"/>
    </x:row>
    <x:row r="364">
      <x:c r="I364" s="29"/>
      <x:c r="L364" s="29"/>
    </x:row>
    <x:row r="365">
      <x:c r="I365" s="29"/>
      <x:c r="L365" s="29"/>
    </x:row>
    <x:row r="366">
      <x:c r="I366" s="29"/>
      <x:c r="L366" s="29"/>
    </x:row>
    <x:row r="367">
      <x:c r="I367" s="29"/>
      <x:c r="L367" s="29"/>
    </x:row>
    <x:row r="368">
      <x:c r="I368" s="29"/>
      <x:c r="L368" s="29"/>
    </x:row>
    <x:row r="369">
      <x:c r="I369" s="29"/>
      <x:c r="L369" s="29"/>
    </x:row>
    <x:row r="370">
      <x:c r="I370" s="29"/>
      <x:c r="L370" s="29"/>
    </x:row>
    <x:row r="371">
      <x:c r="I371" s="29"/>
      <x:c r="L371" s="29"/>
    </x:row>
    <x:row r="372">
      <x:c r="I372" s="29"/>
      <x:c r="L372" s="29"/>
    </x:row>
    <x:row r="373">
      <x:c r="I373" s="29"/>
      <x:c r="L373" s="29"/>
    </x:row>
    <x:row r="374">
      <x:c r="I374" s="29"/>
      <x:c r="L374" s="29"/>
    </x:row>
    <x:row r="375">
      <x:c r="I375" s="29"/>
      <x:c r="L375" s="29"/>
    </x:row>
    <x:row r="376">
      <x:c r="I376" s="29"/>
      <x:c r="L376" s="29"/>
    </x:row>
    <x:row r="377">
      <x:c r="I377" s="29"/>
      <x:c r="L377" s="29"/>
    </x:row>
    <x:row r="378">
      <x:c r="I378" s="29"/>
      <x:c r="L378" s="29"/>
    </x:row>
    <x:row r="379">
      <x:c r="I379" s="29"/>
      <x:c r="L379" s="29"/>
    </x:row>
    <x:row r="380">
      <x:c r="I380" s="29"/>
      <x:c r="L380" s="29"/>
    </x:row>
    <x:row r="381">
      <x:c r="I381" s="29"/>
      <x:c r="L381" s="29"/>
    </x:row>
    <x:row r="382">
      <x:c r="I382" s="29"/>
      <x:c r="L382" s="29"/>
    </x:row>
    <x:row r="383">
      <x:c r="I383" s="29"/>
      <x:c r="L383" s="29"/>
    </x:row>
    <x:row r="384">
      <x:c r="I384" s="29"/>
      <x:c r="L384" s="29"/>
    </x:row>
    <x:row r="385">
      <x:c r="I385" s="29"/>
      <x:c r="L385" s="29"/>
    </x:row>
    <x:row r="386">
      <x:c r="I386" s="29"/>
      <x:c r="L386" s="29"/>
    </x:row>
    <x:row r="387">
      <x:c r="I387" s="29"/>
      <x:c r="L387" s="29"/>
    </x:row>
    <x:row r="388">
      <x:c r="I388" s="29"/>
      <x:c r="L388" s="29"/>
    </x:row>
    <x:row r="389">
      <x:c r="I389" s="29"/>
      <x:c r="L389" s="29"/>
    </x:row>
    <x:row r="390">
      <x:c r="I390" s="29"/>
      <x:c r="L390" s="29"/>
    </x:row>
    <x:row r="391">
      <x:c r="I391" s="29"/>
      <x:c r="L391" s="29"/>
    </x:row>
    <x:row r="392">
      <x:c r="I392" s="29"/>
      <x:c r="L392" s="29"/>
    </x:row>
    <x:row r="393">
      <x:c r="I393" s="29"/>
      <x:c r="L393" s="29"/>
    </x:row>
    <x:row r="394">
      <x:c r="I394" s="29"/>
      <x:c r="L394" s="29"/>
    </x:row>
    <x:row r="395">
      <x:c r="I395" s="29"/>
      <x:c r="L395" s="29"/>
    </x:row>
    <x:row r="396">
      <x:c r="I396" s="29"/>
      <x:c r="L396" s="29"/>
    </x:row>
    <x:row r="397">
      <x:c r="I397" s="29"/>
      <x:c r="L397" s="29"/>
    </x:row>
    <x:row r="398">
      <x:c r="I398" s="29"/>
      <x:c r="L398" s="29"/>
    </x:row>
    <x:row r="399">
      <x:c r="I399" s="29"/>
      <x:c r="L399" s="29"/>
    </x:row>
    <x:row r="400">
      <x:c r="I400" s="29"/>
      <x:c r="L400" s="29"/>
    </x:row>
    <x:row r="401">
      <x:c r="I401" s="29"/>
      <x:c r="L401" s="29"/>
    </x:row>
    <x:row r="402">
      <x:c r="I402" s="29"/>
      <x:c r="L402" s="29"/>
    </x:row>
    <x:row r="403">
      <x:c r="I403" s="29"/>
      <x:c r="L403" s="29"/>
    </x:row>
    <x:row r="404">
      <x:c r="I404" s="29"/>
      <x:c r="L404" s="29"/>
    </x:row>
    <x:row r="405">
      <x:c r="I405" s="29"/>
      <x:c r="L405" s="29"/>
    </x:row>
    <x:row r="406">
      <x:c r="I406" s="29"/>
      <x:c r="L406" s="29"/>
    </x:row>
    <x:row r="407">
      <x:c r="I407" s="29"/>
      <x:c r="L407" s="29"/>
    </x:row>
    <x:row r="408">
      <x:c r="I408" s="29"/>
      <x:c r="L408" s="29"/>
    </x:row>
    <x:row r="409">
      <x:c r="I409" s="29"/>
      <x:c r="L409" s="29"/>
    </x:row>
    <x:row r="410">
      <x:c r="I410" s="29"/>
      <x:c r="L410" s="29"/>
    </x:row>
    <x:row r="411">
      <x:c r="I411" s="29"/>
      <x:c r="L411" s="29"/>
    </x:row>
    <x:row r="412">
      <x:c r="I412" s="29"/>
      <x:c r="L412" s="29"/>
    </x:row>
    <x:row r="413">
      <x:c r="I413" s="29"/>
      <x:c r="L413" s="29"/>
    </x:row>
    <x:row r="414">
      <x:c r="I414" s="29"/>
      <x:c r="L414" s="29"/>
    </x:row>
    <x:row r="415">
      <x:c r="I415" s="29"/>
      <x:c r="L415" s="29"/>
    </x:row>
    <x:row r="416">
      <x:c r="I416" s="29"/>
      <x:c r="L416" s="29"/>
    </x:row>
    <x:row r="417">
      <x:c r="I417" s="29"/>
      <x:c r="L417" s="29"/>
    </x:row>
    <x:row r="418">
      <x:c r="I418" s="29"/>
      <x:c r="L418" s="29"/>
    </x:row>
    <x:row r="419">
      <x:c r="I419" s="29"/>
      <x:c r="L419" s="29"/>
    </x:row>
    <x:row r="420">
      <x:c r="I420" s="29"/>
      <x:c r="L420" s="29"/>
    </x:row>
    <x:row r="421">
      <x:c r="I421" s="29"/>
      <x:c r="L421" s="29"/>
    </x:row>
    <x:row r="422">
      <x:c r="I422" s="29"/>
      <x:c r="L422" s="29"/>
    </x:row>
    <x:row r="423">
      <x:c r="I423" s="29"/>
      <x:c r="L423" s="29"/>
    </x:row>
    <x:row r="424">
      <x:c r="I424" s="29"/>
      <x:c r="L424" s="29"/>
    </x:row>
    <x:row r="425">
      <x:c r="I425" s="29"/>
      <x:c r="L425" s="29"/>
    </x:row>
    <x:row r="426">
      <x:c r="I426" s="29"/>
      <x:c r="L426" s="29"/>
    </x:row>
    <x:row r="427">
      <x:c r="I427" s="29"/>
      <x:c r="L427" s="29"/>
    </x:row>
    <x:row r="428">
      <x:c r="I428" s="29"/>
      <x:c r="L428" s="29"/>
    </x:row>
    <x:row r="429">
      <x:c r="I429" s="29"/>
      <x:c r="L429" s="29"/>
    </x:row>
    <x:row r="430">
      <x:c r="I430" s="29"/>
      <x:c r="L430" s="29"/>
    </x:row>
    <x:row r="431">
      <x:c r="I431" s="29"/>
      <x:c r="L431" s="29"/>
    </x:row>
    <x:row r="432">
      <x:c r="I432" s="29"/>
      <x:c r="L432" s="29"/>
    </x:row>
    <x:row r="433">
      <x:c r="I433" s="29"/>
      <x:c r="L433" s="29"/>
    </x:row>
    <x:row r="434">
      <x:c r="I434" s="29"/>
      <x:c r="L434" s="29"/>
    </x:row>
    <x:row r="435">
      <x:c r="I435" s="29"/>
      <x:c r="L435" s="29"/>
    </x:row>
    <x:row r="436">
      <x:c r="I436" s="29"/>
      <x:c r="L436" s="29"/>
    </x:row>
    <x:row r="437">
      <x:c r="I437" s="29"/>
      <x:c r="L437" s="29"/>
    </x:row>
    <x:row r="438">
      <x:c r="I438" s="29"/>
      <x:c r="L438" s="29"/>
    </x:row>
    <x:row r="439">
      <x:c r="I439" s="29"/>
      <x:c r="L439" s="29"/>
    </x:row>
    <x:row r="440">
      <x:c r="I440" s="29"/>
      <x:c r="L440" s="29"/>
    </x:row>
    <x:row r="441">
      <x:c r="I441" s="29"/>
      <x:c r="L441" s="29"/>
    </x:row>
    <x:row r="442">
      <x:c r="I442" s="29"/>
      <x:c r="L442" s="29"/>
    </x:row>
    <x:row r="443">
      <x:c r="I443" s="29"/>
      <x:c r="L443" s="29"/>
    </x:row>
    <x:row r="444">
      <x:c r="I444" s="29"/>
      <x:c r="L444" s="29"/>
    </x:row>
    <x:row r="445">
      <x:c r="I445" s="29"/>
      <x:c r="L445" s="29"/>
    </x:row>
    <x:row r="446">
      <x:c r="I446" s="29"/>
      <x:c r="L446" s="29"/>
    </x:row>
    <x:row r="447">
      <x:c r="I447" s="29"/>
      <x:c r="L447" s="29"/>
    </x:row>
    <x:row r="448">
      <x:c r="I448" s="29"/>
      <x:c r="L448" s="29"/>
    </x:row>
    <x:row r="449">
      <x:c r="I449" s="29"/>
      <x:c r="L449" s="29"/>
    </x:row>
    <x:row r="450">
      <x:c r="I450" s="29"/>
      <x:c r="L450" s="29"/>
    </x:row>
    <x:row r="451">
      <x:c r="I451" s="29"/>
      <x:c r="L451" s="29"/>
    </x:row>
    <x:row r="452">
      <x:c r="I452" s="29"/>
      <x:c r="L452" s="29"/>
    </x:row>
    <x:row r="453">
      <x:c r="I453" s="29"/>
      <x:c r="L453" s="29"/>
    </x:row>
    <x:row r="454">
      <x:c r="I454" s="29"/>
      <x:c r="L454" s="29"/>
    </x:row>
    <x:row r="455">
      <x:c r="I455" s="29"/>
      <x:c r="L455" s="29"/>
    </x:row>
    <x:row r="456">
      <x:c r="I456" s="29"/>
      <x:c r="L456" s="29"/>
    </x:row>
    <x:row r="457">
      <x:c r="I457" s="29"/>
      <x:c r="L457" s="29"/>
    </x:row>
    <x:row r="458">
      <x:c r="I458" s="29"/>
      <x:c r="L458" s="29"/>
    </x:row>
    <x:row r="459">
      <x:c r="I459" s="29"/>
      <x:c r="L459" s="29"/>
    </x:row>
    <x:row r="460">
      <x:c r="I460" s="29"/>
      <x:c r="L460" s="29"/>
    </x:row>
    <x:row r="461">
      <x:c r="I461" s="29"/>
      <x:c r="L461" s="29"/>
    </x:row>
    <x:row r="462">
      <x:c r="I462" s="29"/>
      <x:c r="L462" s="29"/>
    </x:row>
    <x:row r="463">
      <x:c r="I463" s="29"/>
      <x:c r="L463" s="29"/>
    </x:row>
    <x:row r="464">
      <x:c r="I464" s="29"/>
      <x:c r="L464" s="29"/>
    </x:row>
    <x:row r="465">
      <x:c r="I465" s="29"/>
      <x:c r="L465" s="29"/>
    </x:row>
    <x:row r="466">
      <x:c r="I466" s="29"/>
      <x:c r="L466" s="29"/>
    </x:row>
    <x:row r="467">
      <x:c r="I467" s="29"/>
      <x:c r="L467" s="29"/>
    </x:row>
    <x:row r="468">
      <x:c r="I468" s="29"/>
      <x:c r="L468" s="29"/>
    </x:row>
    <x:row r="469">
      <x:c r="I469" s="29"/>
      <x:c r="L469" s="29"/>
    </x:row>
    <x:row r="470">
      <x:c r="I470" s="29"/>
      <x:c r="L470" s="29"/>
    </x:row>
    <x:row r="471">
      <x:c r="I471" s="29"/>
      <x:c r="L471" s="29"/>
    </x:row>
    <x:row r="472">
      <x:c r="I472" s="29"/>
      <x:c r="L472" s="29"/>
    </x:row>
    <x:row r="473">
      <x:c r="I473" s="29"/>
      <x:c r="L473" s="29"/>
    </x:row>
    <x:row r="474">
      <x:c r="I474" s="29"/>
      <x:c r="L474" s="29"/>
    </x:row>
    <x:row r="475">
      <x:c r="I475" s="29"/>
      <x:c r="L475" s="29"/>
    </x:row>
    <x:row r="476">
      <x:c r="I476" s="29"/>
      <x:c r="L476" s="29"/>
    </x:row>
    <x:row r="477">
      <x:c r="I477" s="29"/>
      <x:c r="L477" s="29"/>
    </x:row>
    <x:row r="478">
      <x:c r="I478" s="29"/>
      <x:c r="L478" s="29"/>
    </x:row>
    <x:row r="479">
      <x:c r="I479" s="29"/>
      <x:c r="L479" s="29"/>
    </x:row>
    <x:row r="480">
      <x:c r="I480" s="29"/>
      <x:c r="L480" s="29"/>
    </x:row>
    <x:row r="481">
      <x:c r="I481" s="29"/>
      <x:c r="L481" s="29"/>
    </x:row>
    <x:row r="482">
      <x:c r="I482" s="29"/>
      <x:c r="L482" s="29"/>
    </x:row>
    <x:row r="483">
      <x:c r="I483" s="29"/>
      <x:c r="L483" s="29"/>
    </x:row>
    <x:row r="484">
      <x:c r="I484" s="29"/>
      <x:c r="L484" s="29"/>
    </x:row>
    <x:row r="485">
      <x:c r="I485" s="29"/>
      <x:c r="L485" s="29"/>
    </x:row>
    <x:row r="486">
      <x:c r="I486" s="29"/>
      <x:c r="L486" s="29"/>
    </x:row>
    <x:row r="487">
      <x:c r="I487" s="29"/>
      <x:c r="L487" s="29"/>
    </x:row>
    <x:row r="488">
      <x:c r="I488" s="29"/>
      <x:c r="L488" s="29"/>
    </x:row>
    <x:row r="489">
      <x:c r="I489" s="29"/>
      <x:c r="L489" s="29"/>
    </x:row>
    <x:row r="490">
      <x:c r="I490" s="29"/>
      <x:c r="L490" s="29"/>
    </x:row>
    <x:row r="491">
      <x:c r="I491" s="29"/>
      <x:c r="L491" s="29"/>
    </x:row>
    <x:row r="492">
      <x:c r="I492" s="29"/>
      <x:c r="L492" s="29"/>
    </x:row>
    <x:row r="493">
      <x:c r="I493" s="29"/>
      <x:c r="L493" s="29"/>
    </x:row>
    <x:row r="494">
      <x:c r="I494" s="29"/>
      <x:c r="L494" s="29"/>
    </x:row>
    <x:row r="495">
      <x:c r="I495" s="29"/>
      <x:c r="L495" s="29"/>
    </x:row>
    <x:row r="496">
      <x:c r="I496" s="29"/>
      <x:c r="L496" s="29"/>
    </x:row>
    <x:row r="497">
      <x:c r="I497" s="29"/>
      <x:c r="L497" s="29"/>
    </x:row>
    <x:row r="498">
      <x:c r="I498" s="29"/>
      <x:c r="L498" s="29"/>
    </x:row>
    <x:row r="499">
      <x:c r="I499" s="29"/>
      <x:c r="L499" s="29"/>
    </x:row>
    <x:row r="500">
      <x:c r="I500" s="29"/>
      <x:c r="L500" s="29"/>
    </x:row>
    <x:row r="501">
      <x:c r="I501" s="29"/>
      <x:c r="L501" s="29"/>
    </x:row>
    <x:row r="502">
      <x:c r="I502" s="29"/>
      <x:c r="L502" s="29"/>
    </x:row>
    <x:row r="503">
      <x:c r="I503" s="29"/>
      <x:c r="L503" s="29"/>
    </x:row>
    <x:row r="504">
      <x:c r="I504" s="29"/>
      <x:c r="L504" s="29"/>
    </x:row>
    <x:row r="505">
      <x:c r="I505" s="29"/>
      <x:c r="L505" s="29"/>
    </x:row>
    <x:row r="506">
      <x:c r="I506" s="29"/>
      <x:c r="L506" s="29"/>
    </x:row>
    <x:row r="507">
      <x:c r="I507" s="29"/>
      <x:c r="L507" s="29"/>
    </x:row>
    <x:row r="508">
      <x:c r="I508" s="29"/>
      <x:c r="L508" s="29"/>
    </x:row>
    <x:row r="509">
      <x:c r="I509" s="29"/>
      <x:c r="L509" s="29"/>
    </x:row>
    <x:row r="510">
      <x:c r="I510" s="29"/>
      <x:c r="L510" s="29"/>
    </x:row>
    <x:row r="511">
      <x:c r="I511" s="29"/>
      <x:c r="L511" s="29"/>
    </x:row>
    <x:row r="512">
      <x:c r="I512" s="29"/>
      <x:c r="L512" s="29"/>
    </x:row>
    <x:row r="513">
      <x:c r="I513" s="29"/>
      <x:c r="L513" s="29"/>
    </x:row>
    <x:row r="514">
      <x:c r="I514" s="29"/>
      <x:c r="L514" s="29"/>
    </x:row>
    <x:row r="515">
      <x:c r="I515" s="29"/>
      <x:c r="L515" s="29"/>
    </x:row>
    <x:row r="516">
      <x:c r="I516" s="29"/>
      <x:c r="L516" s="29"/>
    </x:row>
    <x:row r="517">
      <x:c r="I517" s="29"/>
      <x:c r="L517" s="29"/>
    </x:row>
    <x:row r="518">
      <x:c r="I518" s="29"/>
      <x:c r="L518" s="29"/>
    </x:row>
    <x:row r="519">
      <x:c r="I519" s="29"/>
      <x:c r="L519" s="29"/>
    </x:row>
    <x:row r="520">
      <x:c r="I520" s="29"/>
      <x:c r="L520" s="29"/>
    </x:row>
    <x:row r="521">
      <x:c r="I521" s="29"/>
      <x:c r="L521" s="29"/>
    </x:row>
    <x:row r="522">
      <x:c r="I522" s="29"/>
      <x:c r="L522" s="29"/>
    </x:row>
    <x:row r="523">
      <x:c r="I523" s="29"/>
      <x:c r="L523" s="29"/>
    </x:row>
    <x:row r="524">
      <x:c r="I524" s="29"/>
      <x:c r="L524" s="29"/>
    </x:row>
    <x:row r="525">
      <x:c r="I525" s="29"/>
      <x:c r="L525" s="29"/>
    </x:row>
    <x:row r="526">
      <x:c r="I526" s="29"/>
      <x:c r="L526" s="29"/>
    </x:row>
    <x:row r="527">
      <x:c r="I527" s="29"/>
      <x:c r="L527" s="29"/>
    </x:row>
    <x:row r="528">
      <x:c r="I528" s="29"/>
      <x:c r="L528" s="29"/>
    </x:row>
    <x:row r="529">
      <x:c r="I529" s="29"/>
      <x:c r="L529" s="29"/>
    </x:row>
    <x:row r="530">
      <x:c r="I530" s="29"/>
      <x:c r="L530" s="29"/>
    </x:row>
    <x:row r="531">
      <x:c r="I531" s="29"/>
      <x:c r="L531" s="29"/>
    </x:row>
    <x:row r="532">
      <x:c r="I532" s="29"/>
      <x:c r="L532" s="29"/>
    </x:row>
    <x:row r="533">
      <x:c r="I533" s="29"/>
      <x:c r="L533" s="29"/>
    </x:row>
    <x:row r="534">
      <x:c r="I534" s="29"/>
      <x:c r="L534" s="29"/>
    </x:row>
    <x:row r="535">
      <x:c r="I535" s="29"/>
      <x:c r="L535" s="29"/>
    </x:row>
    <x:row r="536">
      <x:c r="I536" s="29"/>
      <x:c r="L536" s="29"/>
    </x:row>
    <x:row r="537">
      <x:c r="I537" s="29"/>
      <x:c r="L537" s="29"/>
    </x:row>
    <x:row r="538">
      <x:c r="I538" s="29"/>
      <x:c r="L538" s="29"/>
    </x:row>
    <x:row r="539">
      <x:c r="I539" s="29"/>
      <x:c r="L539" s="29"/>
    </x:row>
    <x:row r="540">
      <x:c r="I540" s="29"/>
      <x:c r="L540" s="29"/>
    </x:row>
    <x:row r="541">
      <x:c r="I541" s="29"/>
      <x:c r="L541" s="29"/>
    </x:row>
    <x:row r="542">
      <x:c r="I542" s="29"/>
      <x:c r="L542" s="29"/>
    </x:row>
    <x:row r="543">
      <x:c r="I543" s="29"/>
      <x:c r="L543" s="29"/>
    </x:row>
    <x:row r="544">
      <x:c r="I544" s="29"/>
      <x:c r="L544" s="29"/>
    </x:row>
    <x:row r="545">
      <x:c r="I545" s="29"/>
      <x:c r="L545" s="29"/>
    </x:row>
    <x:row r="546">
      <x:c r="I546" s="29"/>
      <x:c r="L546" s="29"/>
    </x:row>
    <x:row r="547">
      <x:c r="I547" s="29"/>
      <x:c r="L547" s="29"/>
    </x:row>
    <x:row r="548">
      <x:c r="I548" s="29"/>
      <x:c r="L548" s="29"/>
    </x:row>
    <x:row r="549">
      <x:c r="I549" s="29"/>
      <x:c r="L549" s="29"/>
    </x:row>
    <x:row r="550">
      <x:c r="I550" s="29"/>
      <x:c r="L550" s="29"/>
    </x:row>
    <x:row r="551">
      <x:c r="I551" s="29"/>
      <x:c r="L551" s="29"/>
    </x:row>
    <x:row r="552">
      <x:c r="I552" s="29"/>
      <x:c r="L552" s="29"/>
    </x:row>
    <x:row r="553">
      <x:c r="I553" s="29"/>
      <x:c r="L553" s="29"/>
    </x:row>
    <x:row r="554">
      <x:c r="I554" s="29"/>
      <x:c r="L554" s="29"/>
    </x:row>
    <x:row r="555">
      <x:c r="I555" s="29"/>
      <x:c r="L555" s="29"/>
    </x:row>
    <x:row r="556">
      <x:c r="I556" s="29"/>
      <x:c r="L556" s="29"/>
    </x:row>
    <x:row r="557">
      <x:c r="I557" s="29"/>
      <x:c r="L557" s="29"/>
    </x:row>
    <x:row r="558">
      <x:c r="I558" s="29"/>
      <x:c r="L558" s="29"/>
    </x:row>
    <x:row r="559">
      <x:c r="I559" s="29"/>
      <x:c r="L559" s="29"/>
    </x:row>
    <x:row r="560">
      <x:c r="I560" s="29"/>
      <x:c r="L560" s="29"/>
    </x:row>
    <x:row r="561">
      <x:c r="I561" s="29"/>
      <x:c r="L561" s="29"/>
    </x:row>
    <x:row r="562">
      <x:c r="I562" s="29"/>
      <x:c r="L562" s="29"/>
    </x:row>
    <x:row r="563">
      <x:c r="I563" s="29"/>
      <x:c r="L563" s="29"/>
    </x:row>
    <x:row r="564">
      <x:c r="I564" s="29"/>
      <x:c r="L564" s="29"/>
    </x:row>
    <x:row r="565">
      <x:c r="I565" s="29"/>
      <x:c r="L565" s="29"/>
    </x:row>
    <x:row r="566">
      <x:c r="I566" s="29"/>
      <x:c r="L566" s="29"/>
    </x:row>
    <x:row r="567">
      <x:c r="I567" s="29"/>
      <x:c r="L567" s="29"/>
    </x:row>
    <x:row r="568">
      <x:c r="I568" s="29"/>
      <x:c r="L568" s="29"/>
    </x:row>
    <x:row r="569">
      <x:c r="I569" s="29"/>
      <x:c r="L569" s="29"/>
    </x:row>
    <x:row r="570">
      <x:c r="I570" s="29"/>
      <x:c r="L570" s="29"/>
    </x:row>
    <x:row r="571">
      <x:c r="I571" s="29"/>
      <x:c r="L571" s="29"/>
    </x:row>
    <x:row r="572">
      <x:c r="I572" s="29"/>
      <x:c r="L572" s="29"/>
    </x:row>
    <x:row r="573">
      <x:c r="I573" s="29"/>
      <x:c r="L573" s="29"/>
    </x:row>
    <x:row r="574">
      <x:c r="I574" s="29"/>
      <x:c r="L574" s="29"/>
    </x:row>
    <x:row r="575">
      <x:c r="I575" s="29"/>
      <x:c r="L575" s="29"/>
    </x:row>
    <x:row r="576">
      <x:c r="I576" s="29"/>
      <x:c r="L576" s="29"/>
    </x:row>
    <x:row r="577">
      <x:c r="I577" s="29"/>
      <x:c r="L577" s="29"/>
    </x:row>
    <x:row r="578">
      <x:c r="I578" s="29"/>
      <x:c r="L578" s="29"/>
    </x:row>
    <x:row r="579">
      <x:c r="I579" s="29"/>
      <x:c r="L579" s="29"/>
    </x:row>
    <x:row r="580">
      <x:c r="I580" s="29"/>
      <x:c r="L580" s="29"/>
    </x:row>
    <x:row r="581">
      <x:c r="I581" s="29"/>
      <x:c r="L581" s="29"/>
    </x:row>
    <x:row r="582">
      <x:c r="I582" s="29"/>
      <x:c r="L582" s="29"/>
    </x:row>
    <x:row r="583">
      <x:c r="I583" s="29"/>
      <x:c r="L583" s="29"/>
    </x:row>
    <x:row r="584">
      <x:c r="I584" s="29"/>
      <x:c r="L584" s="29"/>
    </x:row>
    <x:row r="585">
      <x:c r="I585" s="29"/>
      <x:c r="L585" s="29"/>
    </x:row>
    <x:row r="586">
      <x:c r="I586" s="29"/>
      <x:c r="L586" s="29"/>
    </x:row>
    <x:row r="587">
      <x:c r="I587" s="29"/>
      <x:c r="L587" s="29"/>
    </x:row>
    <x:row r="588">
      <x:c r="I588" s="29"/>
      <x:c r="L588" s="29"/>
    </x:row>
    <x:row r="589">
      <x:c r="I589" s="29"/>
      <x:c r="L589" s="29"/>
    </x:row>
    <x:row r="590">
      <x:c r="I590" s="29"/>
      <x:c r="L590" s="29"/>
    </x:row>
    <x:row r="591">
      <x:c r="I591" s="29"/>
      <x:c r="L591" s="29"/>
    </x:row>
    <x:row r="592">
      <x:c r="I592" s="29"/>
      <x:c r="L592" s="29"/>
    </x:row>
    <x:row r="593">
      <x:c r="I593" s="29"/>
      <x:c r="L593" s="29"/>
    </x:row>
    <x:row r="594">
      <x:c r="I594" s="29"/>
      <x:c r="L594" s="29"/>
    </x:row>
    <x:row r="595">
      <x:c r="I595" s="29"/>
      <x:c r="L595" s="29"/>
    </x:row>
    <x:row r="596">
      <x:c r="I596" s="29"/>
      <x:c r="L596" s="29"/>
    </x:row>
    <x:row r="597">
      <x:c r="I597" s="29"/>
      <x:c r="L597" s="29"/>
    </x:row>
    <x:row r="598">
      <x:c r="I598" s="29"/>
      <x:c r="L598" s="29"/>
    </x:row>
    <x:row r="599">
      <x:c r="I599" s="29"/>
      <x:c r="L599" s="29"/>
    </x:row>
    <x:row r="600">
      <x:c r="I600" s="29"/>
      <x:c r="L600" s="29"/>
    </x:row>
    <x:row r="601">
      <x:c r="I601" s="29"/>
      <x:c r="L601" s="29"/>
    </x:row>
    <x:row r="602">
      <x:c r="I602" s="29"/>
      <x:c r="L602" s="29"/>
    </x:row>
    <x:row r="603">
      <x:c r="I603" s="29"/>
      <x:c r="L603" s="29"/>
    </x:row>
    <x:row r="604">
      <x:c r="I604" s="29"/>
      <x:c r="L604" s="29"/>
    </x:row>
    <x:row r="605">
      <x:c r="I605" s="29"/>
      <x:c r="L605" s="29"/>
    </x:row>
    <x:row r="606">
      <x:c r="I606" s="29"/>
      <x:c r="L606" s="29"/>
    </x:row>
    <x:row r="607">
      <x:c r="I607" s="29"/>
      <x:c r="L607" s="29"/>
    </x:row>
    <x:row r="608">
      <x:c r="I608" s="29"/>
      <x:c r="L608" s="29"/>
    </x:row>
    <x:row r="609">
      <x:c r="I609" s="29"/>
      <x:c r="L609" s="29"/>
    </x:row>
    <x:row r="610">
      <x:c r="I610" s="29"/>
      <x:c r="L610" s="29"/>
    </x:row>
    <x:row r="611">
      <x:c r="I611" s="29"/>
      <x:c r="L611" s="29"/>
    </x:row>
    <x:row r="612">
      <x:c r="I612" s="29"/>
      <x:c r="L612" s="29"/>
    </x:row>
    <x:row r="613">
      <x:c r="I613" s="29"/>
      <x:c r="L613" s="29"/>
    </x:row>
    <x:row r="614">
      <x:c r="I614" s="29"/>
      <x:c r="L614" s="29"/>
    </x:row>
    <x:row r="615">
      <x:c r="I615" s="29"/>
      <x:c r="L615" s="29"/>
    </x:row>
    <x:row r="616">
      <x:c r="I616" s="29"/>
      <x:c r="L616" s="29"/>
    </x:row>
    <x:row r="617">
      <x:c r="I617" s="29"/>
      <x:c r="L617" s="29"/>
    </x:row>
    <x:row r="618">
      <x:c r="I618" s="29"/>
      <x:c r="L618" s="29"/>
    </x:row>
    <x:row r="619">
      <x:c r="I619" s="29"/>
      <x:c r="L619" s="29"/>
    </x:row>
    <x:row r="620">
      <x:c r="I620" s="29"/>
      <x:c r="L620" s="29"/>
    </x:row>
    <x:row r="621">
      <x:c r="I621" s="29"/>
      <x:c r="L621" s="29"/>
    </x:row>
    <x:row r="622">
      <x:c r="I622" s="29"/>
      <x:c r="L622" s="29"/>
    </x:row>
    <x:row r="623">
      <x:c r="I623" s="29"/>
      <x:c r="L623" s="29"/>
    </x:row>
    <x:row r="624">
      <x:c r="I624" s="29"/>
      <x:c r="L624" s="29"/>
    </x:row>
    <x:row r="625">
      <x:c r="I625" s="29"/>
      <x:c r="L625" s="29"/>
    </x:row>
    <x:row r="626">
      <x:c r="I626" s="29"/>
      <x:c r="L626" s="29"/>
    </x:row>
    <x:row r="627">
      <x:c r="I627" s="29"/>
      <x:c r="L627" s="29"/>
    </x:row>
    <x:row r="628">
      <x:c r="I628" s="29"/>
      <x:c r="L628" s="29"/>
    </x:row>
    <x:row r="629">
      <x:c r="I629" s="29"/>
      <x:c r="L629" s="29"/>
    </x:row>
    <x:row r="630">
      <x:c r="I630" s="29"/>
      <x:c r="L630" s="29"/>
    </x:row>
    <x:row r="631">
      <x:c r="I631" s="29"/>
      <x:c r="L631" s="29"/>
    </x:row>
    <x:row r="632">
      <x:c r="I632" s="29"/>
      <x:c r="L632" s="29"/>
    </x:row>
    <x:row r="633">
      <x:c r="I633" s="29"/>
      <x:c r="L633" s="29"/>
    </x:row>
    <x:row r="634">
      <x:c r="I634" s="29"/>
      <x:c r="L634" s="29"/>
    </x:row>
    <x:row r="635">
      <x:c r="I635" s="29"/>
      <x:c r="L635" s="29"/>
    </x:row>
    <x:row r="636">
      <x:c r="I636" s="29"/>
      <x:c r="L636" s="29"/>
    </x:row>
    <x:row r="637">
      <x:c r="I637" s="29"/>
      <x:c r="L637" s="29"/>
    </x:row>
    <x:row r="638">
      <x:c r="I638" s="29"/>
      <x:c r="L638" s="29"/>
    </x:row>
    <x:row r="639">
      <x:c r="I639" s="29"/>
      <x:c r="L639" s="29"/>
    </x:row>
    <x:row r="640">
      <x:c r="I640" s="29"/>
      <x:c r="L640" s="29"/>
    </x:row>
    <x:row r="641">
      <x:c r="I641" s="29"/>
      <x:c r="L641" s="29"/>
    </x:row>
    <x:row r="642">
      <x:c r="I642" s="29"/>
      <x:c r="L642" s="29"/>
    </x:row>
    <x:row r="643">
      <x:c r="I643" s="29"/>
      <x:c r="L643" s="29"/>
    </x:row>
    <x:row r="644">
      <x:c r="I644" s="29"/>
      <x:c r="L644" s="29"/>
    </x:row>
    <x:row r="645">
      <x:c r="I645" s="29"/>
      <x:c r="L645" s="29"/>
    </x:row>
    <x:row r="646">
      <x:c r="I646" s="29"/>
      <x:c r="L646" s="29"/>
    </x:row>
    <x:row r="647">
      <x:c r="I647" s="29"/>
      <x:c r="L647" s="29"/>
    </x:row>
    <x:row r="648">
      <x:c r="I648" s="29"/>
      <x:c r="L648" s="29"/>
    </x:row>
    <x:row r="649">
      <x:c r="I649" s="29"/>
      <x:c r="L649" s="29"/>
    </x:row>
    <x:row r="650">
      <x:c r="I650" s="29"/>
      <x:c r="L650" s="29"/>
    </x:row>
    <x:row r="651">
      <x:c r="I651" s="29"/>
      <x:c r="L651" s="29"/>
    </x:row>
    <x:row r="652">
      <x:c r="I652" s="29"/>
      <x:c r="L652" s="29"/>
    </x:row>
    <x:row r="653">
      <x:c r="I653" s="29"/>
      <x:c r="L653" s="29"/>
    </x:row>
    <x:row r="654">
      <x:c r="I654" s="29"/>
      <x:c r="L654" s="29"/>
    </x:row>
    <x:row r="655">
      <x:c r="I655" s="29"/>
      <x:c r="L655" s="29"/>
    </x:row>
    <x:row r="656">
      <x:c r="I656" s="29"/>
      <x:c r="L656" s="29"/>
    </x:row>
    <x:row r="657">
      <x:c r="I657" s="29"/>
      <x:c r="L657" s="29"/>
    </x:row>
    <x:row r="658">
      <x:c r="I658" s="29"/>
      <x:c r="L658" s="29"/>
    </x:row>
    <x:row r="659">
      <x:c r="I659" s="29"/>
      <x:c r="L659" s="29"/>
    </x:row>
    <x:row r="660">
      <x:c r="I660" s="29"/>
      <x:c r="L660" s="29"/>
    </x:row>
    <x:row r="661">
      <x:c r="I661" s="29"/>
      <x:c r="L661" s="29"/>
    </x:row>
    <x:row r="662">
      <x:c r="I662" s="29"/>
      <x:c r="L662" s="29"/>
    </x:row>
    <x:row r="663">
      <x:c r="I663" s="29"/>
      <x:c r="L663" s="29"/>
    </x:row>
    <x:row r="664">
      <x:c r="I664" s="29"/>
      <x:c r="L664" s="29"/>
    </x:row>
    <x:row r="665">
      <x:c r="I665" s="29"/>
      <x:c r="L665" s="29"/>
    </x:row>
    <x:row r="666">
      <x:c r="I666" s="29"/>
      <x:c r="L666" s="29"/>
    </x:row>
    <x:row r="667">
      <x:c r="I667" s="29"/>
      <x:c r="L667" s="29"/>
    </x:row>
    <x:row r="668">
      <x:c r="I668" s="29"/>
      <x:c r="L668" s="29"/>
    </x:row>
    <x:row r="669">
      <x:c r="I669" s="29"/>
      <x:c r="L669" s="29"/>
    </x:row>
    <x:row r="670">
      <x:c r="I670" s="29"/>
      <x:c r="L670" s="29"/>
    </x:row>
    <x:row r="671">
      <x:c r="I671" s="29"/>
      <x:c r="L671" s="29"/>
    </x:row>
    <x:row r="672">
      <x:c r="I672" s="29"/>
      <x:c r="L672" s="29"/>
    </x:row>
    <x:row r="673">
      <x:c r="I673" s="29"/>
      <x:c r="L673" s="29"/>
    </x:row>
    <x:row r="674">
      <x:c r="I674" s="29"/>
      <x:c r="L674" s="29"/>
    </x:row>
    <x:row r="675">
      <x:c r="I675" s="29"/>
      <x:c r="L675" s="29"/>
    </x:row>
    <x:row r="676">
      <x:c r="I676" s="29"/>
      <x:c r="L676" s="29"/>
    </x:row>
    <x:row r="677">
      <x:c r="I677" s="29"/>
      <x:c r="L677" s="29"/>
    </x:row>
    <x:row r="678">
      <x:c r="I678" s="29"/>
      <x:c r="L678" s="29"/>
    </x:row>
    <x:row r="679">
      <x:c r="I679" s="29"/>
      <x:c r="L679" s="29"/>
    </x:row>
    <x:row r="680">
      <x:c r="I680" s="29"/>
      <x:c r="L680" s="29"/>
    </x:row>
    <x:row r="681">
      <x:c r="I681" s="29"/>
      <x:c r="L681" s="29"/>
    </x:row>
    <x:row r="682">
      <x:c r="I682" s="29"/>
      <x:c r="L682" s="29"/>
    </x:row>
    <x:row r="683">
      <x:c r="I683" s="29"/>
      <x:c r="L683" s="29"/>
    </x:row>
    <x:row r="684">
      <x:c r="I684" s="29"/>
      <x:c r="L684" s="29"/>
    </x:row>
    <x:row r="685">
      <x:c r="I685" s="29"/>
      <x:c r="L685" s="29"/>
    </x:row>
    <x:row r="686">
      <x:c r="I686" s="29"/>
      <x:c r="L686" s="29"/>
    </x:row>
    <x:row r="687">
      <x:c r="I687" s="29"/>
      <x:c r="L687" s="29"/>
    </x:row>
    <x:row r="688">
      <x:c r="I688" s="29"/>
      <x:c r="L688" s="29"/>
    </x:row>
    <x:row r="689">
      <x:c r="I689" s="29"/>
      <x:c r="L689" s="29"/>
    </x:row>
    <x:row r="690">
      <x:c r="I690" s="29"/>
      <x:c r="L690" s="29"/>
    </x:row>
    <x:row r="691">
      <x:c r="I691" s="29"/>
      <x:c r="L691" s="29"/>
    </x:row>
    <x:row r="692">
      <x:c r="I692" s="29"/>
      <x:c r="L692" s="29"/>
    </x:row>
    <x:row r="693">
      <x:c r="I693" s="29"/>
      <x:c r="L693" s="29"/>
    </x:row>
    <x:row r="694">
      <x:c r="I694" s="29"/>
      <x:c r="L694" s="29"/>
    </x:row>
    <x:row r="695">
      <x:c r="I695" s="29"/>
      <x:c r="L695" s="29"/>
    </x:row>
    <x:row r="696">
      <x:c r="I696" s="29"/>
      <x:c r="L696" s="29"/>
    </x:row>
    <x:row r="697">
      <x:c r="I697" s="29"/>
      <x:c r="L697" s="29"/>
    </x:row>
    <x:row r="698">
      <x:c r="I698" s="29"/>
      <x:c r="L698" s="29"/>
    </x:row>
    <x:row r="699">
      <x:c r="I699" s="29"/>
      <x:c r="L699" s="29"/>
    </x:row>
    <x:row r="700">
      <x:c r="I700" s="29"/>
      <x:c r="L700" s="29"/>
    </x:row>
    <x:row r="701">
      <x:c r="I701" s="29"/>
      <x:c r="L701" s="29"/>
    </x:row>
    <x:row r="702">
      <x:c r="I702" s="29"/>
      <x:c r="L702" s="29"/>
    </x:row>
    <x:row r="703">
      <x:c r="I703" s="29"/>
      <x:c r="L703" s="29"/>
    </x:row>
    <x:row r="704">
      <x:c r="I704" s="29"/>
      <x:c r="L704" s="29"/>
    </x:row>
    <x:row r="705">
      <x:c r="I705" s="29"/>
      <x:c r="L705" s="29"/>
    </x:row>
    <x:row r="706">
      <x:c r="I706" s="29"/>
      <x:c r="L706" s="29"/>
    </x:row>
    <x:row r="707">
      <x:c r="I707" s="29"/>
      <x:c r="L707" s="29"/>
    </x:row>
    <x:row r="708">
      <x:c r="I708" s="29"/>
      <x:c r="L708" s="29"/>
    </x:row>
    <x:row r="709">
      <x:c r="I709" s="29"/>
      <x:c r="L709" s="29"/>
    </x:row>
    <x:row r="710">
      <x:c r="I710" s="29"/>
      <x:c r="L710" s="29"/>
    </x:row>
    <x:row r="711">
      <x:c r="I711" s="29"/>
      <x:c r="L711" s="29"/>
    </x:row>
    <x:row r="712">
      <x:c r="I712" s="29"/>
      <x:c r="L712" s="29"/>
    </x:row>
    <x:row r="713">
      <x:c r="I713" s="29"/>
      <x:c r="L713" s="29"/>
    </x:row>
    <x:row r="714">
      <x:c r="I714" s="29"/>
      <x:c r="L714" s="29"/>
    </x:row>
    <x:row r="715">
      <x:c r="I715" s="29"/>
      <x:c r="L715" s="29"/>
    </x:row>
    <x:row r="716">
      <x:c r="I716" s="29"/>
      <x:c r="L716" s="29"/>
    </x:row>
    <x:row r="717">
      <x:c r="I717" s="29"/>
      <x:c r="L717" s="29"/>
    </x:row>
    <x:row r="718">
      <x:c r="I718" s="29"/>
      <x:c r="L718" s="29"/>
    </x:row>
    <x:row r="719">
      <x:c r="I719" s="29"/>
      <x:c r="L719" s="29"/>
    </x:row>
    <x:row r="720">
      <x:c r="I720" s="29"/>
      <x:c r="L720" s="29"/>
    </x:row>
    <x:row r="721">
      <x:c r="I721" s="29"/>
      <x:c r="L721" s="29"/>
    </x:row>
    <x:row r="722">
      <x:c r="I722" s="29"/>
      <x:c r="L722" s="29"/>
    </x:row>
    <x:row r="723">
      <x:c r="I723" s="29"/>
      <x:c r="L723" s="29"/>
    </x:row>
    <x:row r="724">
      <x:c r="I724" s="29"/>
      <x:c r="L724" s="29"/>
    </x:row>
    <x:row r="725">
      <x:c r="I725" s="29"/>
      <x:c r="L725" s="29"/>
    </x:row>
    <x:row r="726">
      <x:c r="I726" s="29"/>
      <x:c r="L726" s="29"/>
    </x:row>
    <x:row r="727">
      <x:c r="I727" s="29"/>
      <x:c r="L727" s="29"/>
    </x:row>
    <x:row r="728">
      <x:c r="I728" s="29"/>
      <x:c r="L728" s="29"/>
    </x:row>
    <x:row r="729">
      <x:c r="I729" s="29"/>
      <x:c r="L729" s="29"/>
    </x:row>
    <x:row r="730">
      <x:c r="I730" s="29"/>
      <x:c r="L730" s="29"/>
    </x:row>
    <x:row r="731">
      <x:c r="I731" s="29"/>
      <x:c r="L731" s="29"/>
    </x:row>
    <x:row r="732">
      <x:c r="I732" s="29"/>
      <x:c r="L732" s="29"/>
    </x:row>
    <x:row r="733">
      <x:c r="I733" s="29"/>
      <x:c r="L733" s="29"/>
    </x:row>
    <x:row r="734">
      <x:c r="I734" s="29"/>
      <x:c r="L734" s="29"/>
    </x:row>
    <x:row r="735">
      <x:c r="I735" s="29"/>
      <x:c r="L735" s="29"/>
    </x:row>
    <x:row r="736">
      <x:c r="I736" s="29"/>
      <x:c r="L736" s="29"/>
    </x:row>
    <x:row r="737">
      <x:c r="I737" s="29"/>
      <x:c r="L737" s="29"/>
    </x:row>
    <x:row r="738">
      <x:c r="I738" s="29"/>
      <x:c r="L738" s="29"/>
    </x:row>
    <x:row r="739">
      <x:c r="I739" s="29"/>
      <x:c r="L739" s="29"/>
    </x:row>
    <x:row r="740">
      <x:c r="I740" s="29"/>
      <x:c r="L740" s="29"/>
    </x:row>
    <x:row r="741">
      <x:c r="I741" s="29"/>
      <x:c r="L741" s="29"/>
    </x:row>
    <x:row r="742">
      <x:c r="I742" s="29"/>
      <x:c r="L742" s="29"/>
    </x:row>
    <x:row r="743">
      <x:c r="I743" s="29"/>
      <x:c r="L743" s="29"/>
    </x:row>
    <x:row r="744">
      <x:c r="I744" s="29"/>
      <x:c r="L744" s="29"/>
    </x:row>
    <x:row r="745">
      <x:c r="I745" s="29"/>
      <x:c r="L745" s="29"/>
    </x:row>
    <x:row r="746">
      <x:c r="I746" s="29"/>
      <x:c r="L746" s="29"/>
    </x:row>
    <x:row r="747">
      <x:c r="I747" s="29"/>
      <x:c r="L747" s="29"/>
    </x:row>
    <x:row r="748">
      <x:c r="I748" s="29"/>
      <x:c r="L748" s="29"/>
    </x:row>
    <x:row r="749">
      <x:c r="I749" s="29"/>
      <x:c r="L749" s="29"/>
    </x:row>
    <x:row r="750">
      <x:c r="I750" s="29"/>
      <x:c r="L750" s="29"/>
    </x:row>
    <x:row r="751">
      <x:c r="I751" s="29"/>
      <x:c r="L751" s="29"/>
    </x:row>
    <x:row r="752">
      <x:c r="I752" s="29"/>
      <x:c r="L752" s="29"/>
    </x:row>
    <x:row r="753">
      <x:c r="I753" s="29"/>
      <x:c r="L753" s="29"/>
    </x:row>
    <x:row r="754">
      <x:c r="I754" s="29"/>
      <x:c r="L754" s="29"/>
    </x:row>
    <x:row r="755">
      <x:c r="I755" s="29"/>
      <x:c r="L755" s="29"/>
    </x:row>
    <x:row r="756">
      <x:c r="I756" s="29"/>
      <x:c r="L756" s="29"/>
    </x:row>
    <x:row r="757">
      <x:c r="I757" s="29"/>
      <x:c r="L757" s="29"/>
    </x:row>
    <x:row r="758">
      <x:c r="I758" s="29"/>
      <x:c r="L758" s="29"/>
    </x:row>
    <x:row r="759">
      <x:c r="I759" s="29"/>
      <x:c r="L759" s="29"/>
    </x:row>
    <x:row r="760">
      <x:c r="I760" s="29"/>
      <x:c r="L760" s="29"/>
    </x:row>
    <x:row r="761">
      <x:c r="I761" s="29"/>
      <x:c r="L761" s="29"/>
    </x:row>
    <x:row r="762">
      <x:c r="I762" s="29"/>
      <x:c r="L762" s="29"/>
    </x:row>
    <x:row r="763">
      <x:c r="I763" s="29"/>
      <x:c r="L763" s="29"/>
    </x:row>
    <x:row r="764">
      <x:c r="I764" s="29"/>
      <x:c r="L764" s="29"/>
    </x:row>
    <x:row r="765">
      <x:c r="I765" s="29"/>
      <x:c r="L765" s="29"/>
    </x:row>
    <x:row r="766">
      <x:c r="I766" s="29"/>
      <x:c r="L766" s="29"/>
    </x:row>
    <x:row r="767">
      <x:c r="I767" s="29"/>
      <x:c r="L767" s="29"/>
    </x:row>
    <x:row r="768">
      <x:c r="I768" s="29"/>
      <x:c r="L768" s="29"/>
    </x:row>
    <x:row r="769">
      <x:c r="I769" s="29"/>
      <x:c r="L769" s="29"/>
    </x:row>
    <x:row r="770">
      <x:c r="I770" s="29"/>
      <x:c r="L770" s="29"/>
    </x:row>
    <x:row r="771">
      <x:c r="I771" s="29"/>
      <x:c r="L771" s="29"/>
    </x:row>
    <x:row r="772">
      <x:c r="I772" s="29"/>
      <x:c r="L772" s="29"/>
    </x:row>
    <x:row r="773">
      <x:c r="I773" s="29"/>
      <x:c r="L773" s="29"/>
    </x:row>
    <x:row r="774">
      <x:c r="I774" s="29"/>
      <x:c r="L774" s="29"/>
    </x:row>
    <x:row r="775">
      <x:c r="I775" s="29"/>
      <x:c r="L775" s="29"/>
    </x:row>
    <x:row r="776">
      <x:c r="I776" s="29"/>
      <x:c r="L776" s="29"/>
    </x:row>
    <x:row r="777">
      <x:c r="I777" s="29"/>
      <x:c r="L777" s="29"/>
    </x:row>
    <x:row r="778">
      <x:c r="I778" s="29"/>
      <x:c r="L778" s="29"/>
    </x:row>
    <x:row r="779">
      <x:c r="I779" s="29"/>
      <x:c r="L779" s="29"/>
    </x:row>
    <x:row r="780">
      <x:c r="I780" s="29"/>
      <x:c r="L780" s="29"/>
    </x:row>
    <x:row r="781">
      <x:c r="I781" s="29"/>
      <x:c r="L781" s="29"/>
    </x:row>
    <x:row r="782">
      <x:c r="I782" s="29"/>
      <x:c r="L782" s="29"/>
    </x:row>
    <x:row r="783">
      <x:c r="I783" s="29"/>
      <x:c r="L783" s="29"/>
    </x:row>
    <x:row r="784">
      <x:c r="I784" s="29"/>
      <x:c r="L784" s="29"/>
    </x:row>
    <x:row r="785">
      <x:c r="I785" s="29"/>
      <x:c r="L785" s="29"/>
    </x:row>
    <x:row r="786">
      <x:c r="I786" s="29"/>
      <x:c r="L786" s="29"/>
    </x:row>
    <x:row r="787">
      <x:c r="I787" s="29"/>
      <x:c r="L787" s="29"/>
    </x:row>
    <x:row r="788">
      <x:c r="I788" s="29"/>
      <x:c r="L788" s="29"/>
    </x:row>
    <x:row r="789">
      <x:c r="I789" s="29"/>
      <x:c r="L789" s="29"/>
    </x:row>
    <x:row r="790">
      <x:c r="I790" s="29"/>
      <x:c r="L790" s="29"/>
    </x:row>
    <x:row r="791">
      <x:c r="I791" s="29"/>
      <x:c r="L791" s="29"/>
    </x:row>
    <x:row r="792">
      <x:c r="I792" s="29"/>
      <x:c r="L792" s="29"/>
    </x:row>
    <x:row r="793">
      <x:c r="I793" s="29"/>
      <x:c r="L793" s="29"/>
    </x:row>
    <x:row r="794">
      <x:c r="I794" s="29"/>
      <x:c r="L794" s="29"/>
    </x:row>
    <x:row r="795">
      <x:c r="I795" s="29"/>
      <x:c r="L795" s="29"/>
    </x:row>
    <x:row r="796">
      <x:c r="I796" s="29"/>
      <x:c r="L796" s="29"/>
    </x:row>
    <x:row r="797">
      <x:c r="I797" s="29"/>
      <x:c r="L797" s="29"/>
    </x:row>
    <x:row r="798">
      <x:c r="I798" s="29"/>
      <x:c r="L798" s="29"/>
    </x:row>
    <x:row r="799">
      <x:c r="I799" s="29"/>
      <x:c r="L799" s="29"/>
    </x:row>
    <x:row r="800">
      <x:c r="I800" s="29"/>
      <x:c r="L800" s="29"/>
    </x:row>
    <x:row r="801">
      <x:c r="I801" s="29"/>
      <x:c r="L801" s="29"/>
    </x:row>
    <x:row r="802">
      <x:c r="I802" s="29"/>
      <x:c r="L802" s="29"/>
    </x:row>
    <x:row r="803">
      <x:c r="I803" s="29"/>
      <x:c r="L803" s="29"/>
    </x:row>
    <x:row r="804">
      <x:c r="I804" s="29"/>
      <x:c r="L804" s="29"/>
    </x:row>
    <x:row r="805">
      <x:c r="I805" s="29"/>
      <x:c r="L805" s="29"/>
    </x:row>
    <x:row r="806">
      <x:c r="I806" s="29"/>
      <x:c r="L806" s="29"/>
    </x:row>
    <x:row r="807">
      <x:c r="I807" s="29"/>
      <x:c r="L807" s="29"/>
    </x:row>
    <x:row r="808">
      <x:c r="I808" s="29"/>
      <x:c r="L808" s="29"/>
    </x:row>
    <x:row r="809">
      <x:c r="I809" s="29"/>
      <x:c r="L809" s="29"/>
    </x:row>
    <x:row r="810">
      <x:c r="I810" s="29"/>
      <x:c r="L810" s="29"/>
    </x:row>
    <x:row r="811">
      <x:c r="I811" s="29"/>
      <x:c r="L811" s="29"/>
    </x:row>
    <x:row r="812">
      <x:c r="I812" s="29"/>
      <x:c r="L812" s="29"/>
    </x:row>
    <x:row r="813">
      <x:c r="I813" s="29"/>
      <x:c r="L813" s="29"/>
    </x:row>
    <x:row r="814">
      <x:c r="I814" s="29"/>
      <x:c r="L814" s="29"/>
    </x:row>
    <x:row r="815">
      <x:c r="I815" s="29"/>
      <x:c r="L815" s="29"/>
    </x:row>
    <x:row r="816">
      <x:c r="I816" s="29"/>
      <x:c r="L816" s="29"/>
    </x:row>
    <x:row r="817">
      <x:c r="I817" s="29"/>
      <x:c r="L817" s="29"/>
    </x:row>
    <x:row r="818">
      <x:c r="I818" s="29"/>
      <x:c r="L818" s="29"/>
    </x:row>
    <x:row r="819">
      <x:c r="I819" s="29"/>
      <x:c r="L819" s="29"/>
    </x:row>
    <x:row r="820">
      <x:c r="I820" s="29"/>
      <x:c r="L820" s="29"/>
    </x:row>
    <x:row r="821">
      <x:c r="I821" s="29"/>
      <x:c r="L821" s="29"/>
    </x:row>
    <x:row r="822">
      <x:c r="I822" s="29"/>
      <x:c r="L822" s="29"/>
    </x:row>
    <x:row r="823">
      <x:c r="I823" s="29"/>
      <x:c r="L823" s="29"/>
    </x:row>
    <x:row r="824">
      <x:c r="I824" s="29"/>
      <x:c r="L824" s="29"/>
    </x:row>
    <x:row r="825">
      <x:c r="I825" s="29"/>
      <x:c r="L825" s="29"/>
    </x:row>
    <x:row r="826">
      <x:c r="I826" s="29"/>
      <x:c r="L826" s="29"/>
    </x:row>
    <x:row r="827">
      <x:c r="I827" s="29"/>
      <x:c r="L827" s="29"/>
    </x:row>
    <x:row r="828">
      <x:c r="I828" s="29"/>
      <x:c r="L828" s="29"/>
    </x:row>
    <x:row r="829">
      <x:c r="I829" s="29"/>
      <x:c r="L829" s="29"/>
    </x:row>
    <x:row r="830">
      <x:c r="I830" s="29"/>
      <x:c r="L830" s="29"/>
    </x:row>
    <x:row r="831">
      <x:c r="I831" s="29"/>
      <x:c r="L831" s="29"/>
    </x:row>
    <x:row r="832">
      <x:c r="I832" s="29"/>
      <x:c r="L832" s="29"/>
    </x:row>
    <x:row r="833">
      <x:c r="I833" s="29"/>
      <x:c r="L833" s="29"/>
    </x:row>
    <x:row r="834">
      <x:c r="I834" s="29"/>
      <x:c r="L834" s="29"/>
    </x:row>
    <x:row r="835">
      <x:c r="I835" s="29"/>
      <x:c r="L835" s="29"/>
    </x:row>
    <x:row r="836">
      <x:c r="I836" s="29"/>
      <x:c r="L836" s="29"/>
    </x:row>
    <x:row r="837">
      <x:c r="I837" s="29"/>
      <x:c r="L837" s="29"/>
    </x:row>
    <x:row r="838">
      <x:c r="I838" s="29"/>
      <x:c r="L838" s="29"/>
    </x:row>
    <x:row r="839">
      <x:c r="I839" s="29"/>
      <x:c r="L839" s="29"/>
    </x:row>
    <x:row r="840">
      <x:c r="I840" s="29"/>
      <x:c r="L840" s="29"/>
    </x:row>
    <x:row r="841">
      <x:c r="I841" s="29"/>
      <x:c r="L841" s="29"/>
    </x:row>
    <x:row r="842">
      <x:c r="I842" s="29"/>
      <x:c r="L842" s="29"/>
    </x:row>
    <x:row r="843">
      <x:c r="I843" s="29"/>
      <x:c r="L843" s="29"/>
    </x:row>
    <x:row r="844">
      <x:c r="I844" s="29"/>
      <x:c r="L844" s="29"/>
    </x:row>
    <x:row r="845">
      <x:c r="I845" s="29"/>
      <x:c r="L845" s="29"/>
    </x:row>
    <x:row r="846">
      <x:c r="I846" s="29"/>
      <x:c r="L846" s="29"/>
    </x:row>
    <x:row r="847">
      <x:c r="I847" s="29"/>
      <x:c r="L847" s="29"/>
    </x:row>
    <x:row r="848">
      <x:c r="I848" s="29"/>
      <x:c r="L848" s="29"/>
    </x:row>
    <x:row r="849">
      <x:c r="I849" s="29"/>
      <x:c r="L849" s="29"/>
    </x:row>
    <x:row r="850">
      <x:c r="I850" s="29"/>
      <x:c r="L850" s="29"/>
    </x:row>
    <x:row r="851">
      <x:c r="I851" s="29"/>
      <x:c r="L851" s="29"/>
    </x:row>
    <x:row r="852">
      <x:c r="I852" s="29"/>
      <x:c r="L852" s="29"/>
    </x:row>
    <x:row r="853">
      <x:c r="I853" s="29"/>
      <x:c r="L853" s="29"/>
    </x:row>
    <x:row r="854">
      <x:c r="I854" s="29"/>
      <x:c r="L854" s="29"/>
    </x:row>
    <x:row r="855">
      <x:c r="I855" s="29"/>
      <x:c r="L855" s="29"/>
    </x:row>
    <x:row r="856">
      <x:c r="I856" s="29"/>
      <x:c r="L856" s="29"/>
    </x:row>
    <x:row r="857">
      <x:c r="I857" s="29"/>
      <x:c r="L857" s="29"/>
    </x:row>
    <x:row r="858">
      <x:c r="I858" s="29"/>
      <x:c r="L858" s="29"/>
    </x:row>
    <x:row r="859">
      <x:c r="I859" s="29"/>
      <x:c r="L859" s="29"/>
    </x:row>
    <x:row r="860">
      <x:c r="I860" s="29"/>
      <x:c r="L860" s="29"/>
    </x:row>
    <x:row r="861">
      <x:c r="I861" s="29"/>
      <x:c r="L861" s="29"/>
    </x:row>
    <x:row r="862">
      <x:c r="I862" s="29"/>
      <x:c r="L862" s="29"/>
    </x:row>
    <x:row r="863">
      <x:c r="I863" s="29"/>
      <x:c r="L863" s="29"/>
    </x:row>
    <x:row r="864">
      <x:c r="I864" s="29"/>
      <x:c r="L864" s="29"/>
    </x:row>
    <x:row r="865">
      <x:c r="I865" s="29"/>
      <x:c r="L865" s="29"/>
    </x:row>
    <x:row r="866">
      <x:c r="I866" s="29"/>
      <x:c r="L866" s="29"/>
    </x:row>
    <x:row r="867">
      <x:c r="I867" s="29"/>
      <x:c r="L867" s="29"/>
    </x:row>
    <x:row r="868">
      <x:c r="I868" s="29"/>
      <x:c r="L868" s="29"/>
    </x:row>
    <x:row r="869">
      <x:c r="I869" s="29"/>
      <x:c r="L869" s="29"/>
    </x:row>
    <x:row r="870">
      <x:c r="I870" s="29"/>
      <x:c r="L870" s="29"/>
    </x:row>
    <x:row r="871">
      <x:c r="I871" s="29"/>
      <x:c r="L871" s="29"/>
    </x:row>
    <x:row r="872">
      <x:c r="I872" s="29"/>
      <x:c r="L872" s="29"/>
    </x:row>
    <x:row r="873">
      <x:c r="I873" s="29"/>
      <x:c r="L873" s="29"/>
    </x:row>
    <x:row r="874">
      <x:c r="I874" s="29"/>
      <x:c r="L874" s="29"/>
    </x:row>
    <x:row r="875">
      <x:c r="I875" s="29"/>
      <x:c r="L875" s="29"/>
    </x:row>
    <x:row r="876">
      <x:c r="I876" s="29"/>
      <x:c r="L876" s="29"/>
    </x:row>
    <x:row r="877">
      <x:c r="I877" s="29"/>
      <x:c r="L877" s="29"/>
    </x:row>
    <x:row r="878">
      <x:c r="I878" s="29"/>
      <x:c r="L878" s="29"/>
    </x:row>
    <x:row r="879">
      <x:c r="I879" s="29"/>
      <x:c r="L879" s="29"/>
    </x:row>
    <x:row r="880">
      <x:c r="I880" s="29"/>
      <x:c r="L880" s="29"/>
    </x:row>
    <x:row r="881">
      <x:c r="I881" s="29"/>
      <x:c r="L881" s="29"/>
    </x:row>
    <x:row r="882">
      <x:c r="I882" s="29"/>
      <x:c r="L882" s="29"/>
    </x:row>
    <x:row r="883">
      <x:c r="I883" s="29"/>
      <x:c r="L883" s="29"/>
    </x:row>
    <x:row r="884">
      <x:c r="I884" s="29"/>
      <x:c r="L884" s="29"/>
    </x:row>
    <x:row r="885">
      <x:c r="I885" s="29"/>
      <x:c r="L885" s="29"/>
    </x:row>
    <x:row r="886">
      <x:c r="I886" s="29"/>
      <x:c r="L886" s="29"/>
    </x:row>
    <x:row r="887">
      <x:c r="I887" s="29"/>
      <x:c r="L887" s="29"/>
    </x:row>
    <x:row r="888">
      <x:c r="I888" s="29"/>
      <x:c r="L888" s="29"/>
    </x:row>
    <x:row r="889">
      <x:c r="I889" s="29"/>
      <x:c r="L889" s="29"/>
    </x:row>
    <x:row r="890">
      <x:c r="I890" s="29"/>
      <x:c r="L890" s="29"/>
    </x:row>
    <x:row r="891">
      <x:c r="I891" s="29"/>
      <x:c r="L891" s="29"/>
    </x:row>
    <x:row r="892">
      <x:c r="I892" s="29"/>
      <x:c r="L892" s="29"/>
    </x:row>
    <x:row r="893">
      <x:c r="I893" s="29"/>
      <x:c r="L893" s="29"/>
    </x:row>
    <x:row r="894">
      <x:c r="I894" s="29"/>
      <x:c r="L894" s="29"/>
    </x:row>
    <x:row r="895">
      <x:c r="I895" s="29"/>
      <x:c r="L895" s="29"/>
    </x:row>
    <x:row r="896">
      <x:c r="I896" s="29"/>
      <x:c r="L896" s="29"/>
    </x:row>
    <x:row r="897">
      <x:c r="I897" s="29"/>
      <x:c r="L897" s="29"/>
    </x:row>
    <x:row r="898">
      <x:c r="I898" s="29"/>
      <x:c r="L898" s="29"/>
    </x:row>
    <x:row r="899">
      <x:c r="I899" s="29"/>
      <x:c r="L899" s="29"/>
    </x:row>
    <x:row r="900">
      <x:c r="I900" s="29"/>
      <x:c r="L900" s="29"/>
    </x:row>
    <x:row r="901">
      <x:c r="I901" s="29"/>
      <x:c r="L901" s="29"/>
    </x:row>
    <x:row r="902">
      <x:c r="I902" s="29"/>
      <x:c r="L902" s="29"/>
    </x:row>
    <x:row r="903">
      <x:c r="I903" s="29"/>
      <x:c r="L903" s="29"/>
    </x:row>
    <x:row r="904">
      <x:c r="I904" s="29"/>
      <x:c r="L904" s="29"/>
    </x:row>
    <x:row r="905">
      <x:c r="I905" s="29"/>
      <x:c r="L905" s="29"/>
    </x:row>
    <x:row r="906">
      <x:c r="I906" s="29"/>
      <x:c r="L906" s="29"/>
    </x:row>
    <x:row r="907">
      <x:c r="I907" s="29"/>
      <x:c r="L907" s="29"/>
    </x:row>
    <x:row r="908">
      <x:c r="I908" s="29"/>
      <x:c r="L908" s="29"/>
    </x:row>
    <x:row r="909">
      <x:c r="I909" s="29"/>
      <x:c r="L909" s="29"/>
    </x:row>
    <x:row r="910">
      <x:c r="I910" s="29"/>
      <x:c r="L910" s="29"/>
    </x:row>
    <x:row r="911">
      <x:c r="I911" s="29"/>
      <x:c r="L911" s="29"/>
    </x:row>
    <x:row r="912">
      <x:c r="I912" s="29"/>
      <x:c r="L912" s="29"/>
    </x:row>
    <x:row r="913">
      <x:c r="I913" s="29"/>
      <x:c r="L913" s="29"/>
    </x:row>
    <x:row r="914">
      <x:c r="I914" s="29"/>
      <x:c r="L914" s="29"/>
    </x:row>
    <x:row r="915">
      <x:c r="I915" s="29"/>
      <x:c r="L915" s="29"/>
    </x:row>
    <x:row r="916">
      <x:c r="I916" s="29"/>
      <x:c r="L916" s="29"/>
    </x:row>
    <x:row r="917">
      <x:c r="I917" s="29"/>
      <x:c r="L917" s="29"/>
    </x:row>
    <x:row r="918">
      <x:c r="I918" s="29"/>
      <x:c r="L918" s="29"/>
    </x:row>
    <x:row r="919">
      <x:c r="I919" s="29"/>
      <x:c r="L919" s="29"/>
    </x:row>
    <x:row r="920">
      <x:c r="I920" s="29"/>
      <x:c r="L920" s="29"/>
    </x:row>
    <x:row r="921">
      <x:c r="I921" s="29"/>
      <x:c r="L921" s="29"/>
    </x:row>
    <x:row r="922">
      <x:c r="I922" s="29"/>
      <x:c r="L922" s="29"/>
    </x:row>
    <x:row r="923">
      <x:c r="I923" s="29"/>
      <x:c r="L923" s="29"/>
    </x:row>
    <x:row r="924">
      <x:c r="I924" s="29"/>
      <x:c r="L924" s="29"/>
    </x:row>
    <x:row r="925">
      <x:c r="I925" s="29"/>
      <x:c r="L925" s="29"/>
    </x:row>
    <x:row r="926">
      <x:c r="I926" s="29"/>
      <x:c r="L926" s="29"/>
    </x:row>
    <x:row r="927">
      <x:c r="I927" s="29"/>
      <x:c r="L927" s="29"/>
    </x:row>
    <x:row r="928">
      <x:c r="I928" s="29"/>
      <x:c r="L928" s="29"/>
    </x:row>
    <x:row r="929">
      <x:c r="I929" s="29"/>
      <x:c r="L929" s="29"/>
    </x:row>
    <x:row r="930">
      <x:c r="I930" s="29"/>
      <x:c r="L930" s="29"/>
    </x:row>
    <x:row r="931">
      <x:c r="I931" s="29"/>
      <x:c r="L931" s="29"/>
    </x:row>
    <x:row r="932">
      <x:c r="I932" s="29"/>
      <x:c r="L932" s="29"/>
    </x:row>
    <x:row r="933">
      <x:c r="I933" s="29"/>
      <x:c r="L933" s="29"/>
    </x:row>
    <x:row r="934">
      <x:c r="I934" s="29"/>
      <x:c r="L934" s="29"/>
    </x:row>
    <x:row r="935">
      <x:c r="I935" s="29"/>
      <x:c r="L935" s="29"/>
    </x:row>
    <x:row r="936">
      <x:c r="I936" s="29"/>
      <x:c r="L936" s="29"/>
    </x:row>
    <x:row r="937">
      <x:c r="I937" s="29"/>
      <x:c r="L937" s="29"/>
    </x:row>
    <x:row r="938">
      <x:c r="I938" s="29"/>
      <x:c r="L938" s="29"/>
    </x:row>
    <x:row r="939">
      <x:c r="I939" s="29"/>
      <x:c r="L939" s="29"/>
    </x:row>
    <x:row r="940">
      <x:c r="I940" s="29"/>
      <x:c r="L940" s="29"/>
    </x:row>
    <x:row r="941">
      <x:c r="I941" s="29"/>
      <x:c r="L941" s="29"/>
    </x:row>
    <x:row r="942">
      <x:c r="I942" s="29"/>
      <x:c r="L942" s="29"/>
    </x:row>
    <x:row r="943">
      <x:c r="I943" s="29"/>
      <x:c r="L943" s="29"/>
    </x:row>
    <x:row r="944">
      <x:c r="I944" s="29"/>
      <x:c r="L944" s="29"/>
    </x:row>
    <x:row r="945">
      <x:c r="I945" s="29"/>
      <x:c r="L945" s="29"/>
    </x:row>
    <x:row r="946">
      <x:c r="I946" s="29"/>
      <x:c r="L946" s="29"/>
    </x:row>
    <x:row r="947">
      <x:c r="I947" s="29"/>
      <x:c r="L947" s="29"/>
    </x:row>
    <x:row r="948">
      <x:c r="I948" s="29"/>
      <x:c r="L948" s="29"/>
    </x:row>
    <x:row r="949">
      <x:c r="I949" s="29"/>
      <x:c r="L949" s="29"/>
    </x:row>
    <x:row r="950">
      <x:c r="I950" s="29"/>
      <x:c r="L950" s="29"/>
    </x:row>
    <x:row r="951">
      <x:c r="I951" s="29"/>
      <x:c r="L951" s="29"/>
    </x:row>
    <x:row r="952">
      <x:c r="I952" s="29"/>
      <x:c r="L952" s="29"/>
    </x:row>
    <x:row r="953">
      <x:c r="I953" s="29"/>
      <x:c r="L953" s="29"/>
    </x:row>
    <x:row r="954">
      <x:c r="I954" s="29"/>
      <x:c r="L954" s="29"/>
    </x:row>
    <x:row r="955">
      <x:c r="I955" s="29"/>
      <x:c r="L955" s="29"/>
    </x:row>
    <x:row r="956">
      <x:c r="I956" s="29"/>
      <x:c r="L956" s="29"/>
    </x:row>
    <x:row r="957">
      <x:c r="I957" s="29"/>
      <x:c r="L957" s="29"/>
    </x:row>
    <x:row r="958">
      <x:c r="I958" s="29"/>
      <x:c r="L958" s="29"/>
    </x:row>
    <x:row r="959">
      <x:c r="I959" s="29"/>
      <x:c r="L959" s="29"/>
    </x:row>
    <x:row r="960">
      <x:c r="I960" s="29"/>
      <x:c r="L960" s="29"/>
    </x:row>
    <x:row r="961">
      <x:c r="I961" s="29"/>
      <x:c r="L961" s="29"/>
    </x:row>
    <x:row r="962">
      <x:c r="I962" s="29"/>
      <x:c r="L962" s="29"/>
    </x:row>
    <x:row r="963">
      <x:c r="I963" s="29"/>
      <x:c r="L963" s="29"/>
    </x:row>
    <x:row r="964">
      <x:c r="I964" s="29"/>
      <x:c r="L964" s="29"/>
    </x:row>
    <x:row r="965">
      <x:c r="I965" s="29"/>
      <x:c r="L965" s="29"/>
    </x:row>
    <x:row r="966">
      <x:c r="I966" s="29"/>
      <x:c r="L966" s="29"/>
    </x:row>
    <x:row r="967">
      <x:c r="I967" s="29"/>
      <x:c r="L967" s="29"/>
    </x:row>
    <x:row r="968">
      <x:c r="I968" s="29"/>
      <x:c r="L968" s="29"/>
    </x:row>
    <x:row r="969">
      <x:c r="I969" s="29"/>
      <x:c r="L969" s="29"/>
    </x:row>
    <x:row r="970">
      <x:c r="I970" s="29"/>
      <x:c r="L970" s="29"/>
    </x:row>
    <x:row r="971">
      <x:c r="I971" s="29"/>
      <x:c r="L971" s="29"/>
    </x:row>
    <x:row r="972">
      <x:c r="I972" s="29"/>
      <x:c r="L972" s="29"/>
    </x:row>
    <x:row r="973">
      <x:c r="I973" s="29"/>
      <x:c r="L973" s="29"/>
    </x:row>
    <x:row r="974">
      <x:c r="I974" s="29"/>
      <x:c r="L974" s="29"/>
    </x:row>
    <x:row r="975">
      <x:c r="I975" s="29"/>
      <x:c r="L975" s="29"/>
    </x:row>
    <x:row r="976">
      <x:c r="I976" s="29"/>
      <x:c r="L976" s="29"/>
    </x:row>
    <x:row r="977">
      <x:c r="I977" s="29"/>
      <x:c r="L977" s="29"/>
    </x:row>
    <x:row r="978">
      <x:c r="I978" s="29"/>
      <x:c r="L978" s="29"/>
    </x:row>
    <x:row r="979">
      <x:c r="I979" s="29"/>
      <x:c r="L979" s="29"/>
    </x:row>
    <x:row r="980">
      <x:c r="I980" s="29"/>
      <x:c r="L980" s="29"/>
    </x:row>
    <x:row r="981">
      <x:c r="I981" s="29"/>
      <x:c r="L981" s="29"/>
    </x:row>
    <x:row r="982">
      <x:c r="I982" s="29"/>
      <x:c r="L982" s="29"/>
    </x:row>
    <x:row r="983">
      <x:c r="I983" s="29"/>
      <x:c r="L983" s="29"/>
    </x:row>
    <x:row r="984">
      <x:c r="I984" s="29"/>
      <x:c r="L984" s="29"/>
    </x:row>
    <x:row r="985">
      <x:c r="I985" s="29"/>
      <x:c r="L985" s="29"/>
    </x:row>
    <x:row r="986">
      <x:c r="I986" s="29"/>
      <x:c r="L986" s="29"/>
    </x:row>
    <x:row r="987">
      <x:c r="I987" s="29"/>
      <x:c r="L987" s="29"/>
    </x:row>
    <x:row r="988">
      <x:c r="I988" s="29"/>
      <x:c r="L988" s="29"/>
    </x:row>
    <x:row r="989">
      <x:c r="I989" s="29"/>
      <x:c r="L989" s="29"/>
    </x:row>
    <x:row r="990">
      <x:c r="I990" s="29"/>
      <x:c r="L990" s="29"/>
    </x:row>
    <x:row r="991">
      <x:c r="I991" s="29"/>
      <x:c r="L991" s="29"/>
    </x:row>
    <x:row r="992">
      <x:c r="I992" s="29"/>
      <x:c r="L992" s="29"/>
    </x:row>
    <x:row r="993">
      <x:c r="I993" s="29"/>
      <x:c r="L993" s="29"/>
    </x:row>
    <x:row r="994">
      <x:c r="I994" s="29"/>
      <x:c r="L994" s="29"/>
    </x:row>
    <x:row r="995">
      <x:c r="I995" s="29"/>
      <x:c r="L995" s="29"/>
    </x:row>
    <x:row r="996">
      <x:c r="I996" s="29"/>
      <x:c r="L996" s="29"/>
    </x:row>
    <x:row r="997">
      <x:c r="I997" s="29"/>
      <x:c r="L997" s="29"/>
    </x:row>
    <x:row r="998">
      <x:c r="I998" s="29"/>
      <x:c r="L998" s="29"/>
    </x:row>
    <x:row r="999">
      <x:c r="I999" s="29"/>
      <x:c r="L999" s="29"/>
    </x:row>
    <x:row r="1000">
      <x:c r="I1000" s="29"/>
      <x:c r="L1000" s="29"/>
    </x:row>
    <x:row r="1001">
      <x:c r="I1001" s="29"/>
      <x:c r="L1001" s="29"/>
    </x:row>
    <x:row r="1002">
      <x:c r="I1002" s="29"/>
      <x:c r="L1002" s="29"/>
    </x:row>
    <x:row r="1003">
      <x:c r="I1003" s="29"/>
      <x:c r="L1003" s="29"/>
    </x:row>
    <x:row r="1004">
      <x:c r="I1004" s="29"/>
      <x:c r="L1004" s="29"/>
    </x:row>
    <x:row r="1005">
      <x:c r="I1005" s="29"/>
      <x:c r="L1005" s="29"/>
    </x:row>
    <x:row r="1006">
      <x:c r="I1006" s="29"/>
      <x:c r="L1006" s="29"/>
    </x:row>
    <x:row r="1007">
      <x:c r="I1007" s="29"/>
      <x:c r="L1007" s="29"/>
    </x:row>
    <x:row r="1008">
      <x:c r="I1008" s="29"/>
      <x:c r="L1008" s="29"/>
    </x:row>
  </x:sheetData>
  <x:conditionalFormatting sqref="B9:B1008">
    <x:cfRule type="cellIs" dxfId="0" priority="1" operator="equal">
      <x:formula>"Awaiting source"</x:formula>
    </x:cfRule>
    <x:cfRule type="cellIs" dxfId="1" priority="2" operator="equal">
      <x:formula>"Deferred"</x:formula>
    </x:cfRule>
    <x:cfRule type="cellIs" dxfId="2" priority="3" operator="equal">
      <x:formula>"Closed"</x:formula>
    </x:cfRule>
  </x:conditionalFormatting>
  <x:conditionalFormatting sqref="J9:J1008">
    <x:cfRule type="expression" dxfId="3" priority="4">
      <x:formula>AND($A9&lt;&gt;"",OR($B9="Closed",$B9="Not applicable"),$J9="")</x:formula>
    </x:cfRule>
  </x:conditionalFormatting>
  <x:conditionalFormatting sqref="A9:A1008">
    <x:cfRule type="expression" dxfId="4" priority="5">
      <x:formula>AND($A9&lt;&gt;"",COUNTIF($A$9:$A$1008,$A9)&gt;1)</x:formula>
    </x:cfRule>
  </x:conditionalFormatting>
  <x:dataValidations count="1">
    <x:dataValidation type="list" sqref="B9:B1008">
      <x:formula1>"Open,In progress,Awaiting source,Deferred,Closed,Not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e5cc9ec9794190"/>
  </x:tableParts>
</x:worksheet>
</file>