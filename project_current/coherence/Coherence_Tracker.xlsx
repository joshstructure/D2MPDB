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ithub\D2MPDB\project_current\coherence\"/>
    </mc:Choice>
  </mc:AlternateContent>
  <xr:revisionPtr revIDLastSave="0" documentId="13_ncr:1_{B991146D-38D0-47F9-8E48-98B9C39F2823}" xr6:coauthVersionLast="47" xr6:coauthVersionMax="47" xr10:uidLastSave="{00000000-0000-0000-0000-000000000000}"/>
  <bookViews>
    <workbookView xWindow="-98" yWindow="-98" windowWidth="24496" windowHeight="15675" xr2:uid="{00000000-000D-0000-FFFF-FFFF00000000}"/>
  </bookViews>
  <sheets>
    <sheet name="Coherence items" sheetId="1" r:id="rId1"/>
  </sheets>
  <calcPr calcId="181029"/>
</workbook>
</file>

<file path=xl/calcChain.xml><?xml version="1.0" encoding="utf-8"?>
<calcChain xmlns="http://schemas.openxmlformats.org/spreadsheetml/2006/main">
  <c r="H4" i="1" l="1"/>
  <c r="F4" i="1"/>
  <c r="D4" i="1"/>
  <c r="B4" i="1"/>
</calcChain>
</file>

<file path=xl/sharedStrings.xml><?xml version="1.0" encoding="utf-8"?>
<sst xmlns="http://schemas.openxmlformats.org/spreadsheetml/2006/main" count="248" uniqueCount="201">
  <si>
    <t>D2 I-95 project coherence</t>
  </si>
  <si>
    <t>Review updated: 16 October 2026. Source selections, recorded responses and closure evidence are preserved here.</t>
  </si>
  <si>
    <t>Outstanding</t>
  </si>
  <si>
    <t>Awaiting source</t>
  </si>
  <si>
    <t>Deferred</t>
  </si>
  <si>
    <t>Marked closed / N.A.</t>
  </si>
  <si>
    <t>Use Status filters for outstanding work. Yellow cells are for updates. Keep existing IDs when sorting or revising.</t>
  </si>
  <si>
    <t>Add rows with the next COH number. Counts cover rows 9-1008. Record closure evidence in J, save, then run the project check.</t>
  </si>
  <si>
    <t>Item ID</t>
  </si>
  <si>
    <t>Status</t>
  </si>
  <si>
    <t>Area</t>
  </si>
  <si>
    <t>Item</t>
  </si>
  <si>
    <t>Finding</t>
  </si>
  <si>
    <t>Next action</t>
  </si>
  <si>
    <t>Your response</t>
  </si>
  <si>
    <t>Owner</t>
  </si>
  <si>
    <t>Due date</t>
  </si>
  <si>
    <t>Resolution / evidence</t>
  </si>
  <si>
    <t>Source references</t>
  </si>
  <si>
    <t>Last reviewed</t>
  </si>
  <si>
    <t>COH-001</t>
  </si>
  <si>
    <t>Closed</t>
  </si>
  <si>
    <t>Pier</t>
  </si>
  <si>
    <t>Right bearing-row offset</t>
  </si>
  <si>
    <t>Historical right row was +10.14 in. The matching Pier_Fixed.XML now has nodes 183/184 at +10.50 in and nodes 181/182 at -10.50 in, matching the journal.</t>
  </si>
  <si>
    <t>Coordinate discrepancy resolved. Full model load and convergence review remains COH-004.</t>
  </si>
  <si>
    <t>I need to correct the FBMP model I think there is a typo in it. I'll update the model and reupload the report. — recorded response, 9 October 2026.</t>
  </si>
  <si>
    <t>10 October: exact report/XML fingerprint matched; PIER-XML nodal coordinates 181–184 verified. See source_update.json.</t>
  </si>
  <si>
    <t>PIER-XML; JOURNAL; coherence/evidence/pier_review_2026-10-09.xlsx, item 02; tasks/T006/response-disposition.json, item 02; coherence/evidence/2026-10-10/source_update.json</t>
  </si>
  <si>
    <t>COH-002</t>
  </si>
  <si>
    <t>U-bar / pile conflicts</t>
  </si>
  <si>
    <t>The new pier cage uses #5 U-bars with 50-degree trial hook rotations. Hook development and engagement remain pending. Field bending was permitted in the recorded T006 response.</t>
  </si>
  <si>
    <t>Verify the revised U-bar clearance, development and engagement. Separate end-face U-grid failure is COH-019.</t>
  </si>
  <si>
    <t>U bars tails can be field bent to accommodate a potential clash — recorded response, 9 October 2026.</t>
  </si>
  <si>
    <t>PIER-REPORT; coherence/evidence/pier_review_2026-10-09.xlsx, item 03; tasks/T006/response-disposition.json, item 03; coherence/evidence/2026-10-10/source_update.json</t>
  </si>
  <si>
    <t>COH-003</t>
  </si>
  <si>
    <t>Longitudinal tension reference</t>
  </si>
  <si>
    <t>Historical uniform-reference shortfall is retained in prior evidence. New actual-cage longitudinal tension is PENDING: N 0.946947, P 0.776624, B 0.863733. Ratios below 1 do not close prerequisites.</t>
  </si>
  <si>
    <t>Resolve developed-steel and load-path prerequisites and document actual-cage acceptance.</t>
  </si>
  <si>
    <t>Updates design have fixed these.</t>
  </si>
  <si>
    <t>PIER-REPORT; coherence/evidence/pier_review_2026-10-09.xlsx, item 04; tasks/T006/response-disposition.json, item 04; coherence/evidence/2026-10-10/source_update.json</t>
  </si>
  <si>
    <t>COH-004</t>
  </si>
  <si>
    <t>Open</t>
  </si>
  <si>
    <t>Complete model load comparison</t>
  </si>
  <si>
    <t>New Pier_Fixed report/XML fingerprints match and bearing offsets reconcile. Full current wind, below-pad weights, transfer moments, combinations and convergence remain unverified against T006.</t>
  </si>
  <si>
    <t>Compare the exact current model loading with T006 and document needed reruns and convergence evidence.</t>
  </si>
  <si>
    <t>16 Oct: the 12 Oct pier report names export c8420fad..., not the registered PIER-XML (COH-013), and the final runs need the current pile heads (COH-028).</t>
  </si>
  <si>
    <t>PIER-XML; JOURNAL; coherence/evidence/pier_review_2026-10-09.xlsx, item 05; tasks/T006/response-disposition.json, item 05; coherence/evidence/2026-10-10/source_update.json; COH-013; COH-028; coherence/evidence/2026-10-16-fbmp-pile-heads/pile_heads.json</t>
  </si>
  <si>
    <t>COH-005</t>
  </si>
  <si>
    <t>Wind and wall geometry</t>
  </si>
  <si>
    <t>T006 linked wind width to the 230-in cap length. The 231-in discrepancy is resolved in the accepted journal. Separate wall/fin dimensions and model wind-load currency remain open.</t>
  </si>
  <si>
    <t>Establish remaining wall/fin geometry and compare current model wind loads with the T006 basis.</t>
  </si>
  <si>
    <t>Partial: T006 receipt and final review verify 230-in width and dependent wind quantities; wall quantities were excluded.</t>
  </si>
  <si>
    <t>JOURNAL; coherence/evidence/pier_review_2026-10-09.xlsx, item 06; tasks/T006/response-disposition.json, item 06; coherence/evidence/2026-10-10/source_update.json</t>
  </si>
  <si>
    <t>COH-006</t>
  </si>
  <si>
    <t>Journal</t>
  </si>
  <si>
    <t>Historical quantity sketches</t>
  </si>
  <si>
    <t>T006 labeled the older cap sketches historical; the live cap quantity remains 230 ft3.</t>
  </si>
  <si>
    <t>No action for historical labels. Separate wall quantities remain open.</t>
  </si>
  <si>
    <t>Existing T006 acceptance fingerprint and all listed evidence hashes verified. Accepted final review records native inspection of the quantity note.</t>
  </si>
  <si>
    <t>COH-007</t>
  </si>
  <si>
    <t>Remaining design checks</t>
  </si>
  <si>
    <t>New pier report: 67 pending entries and two FAIL entries (one end-grid clearance failure and its aggregate summary). Service III remains N/A by D-007 despite the report label.</t>
  </si>
  <si>
    <t>Retain the recorded deferral. Resolve individual checks when directed; address new end-grid failure under COH-019.</t>
  </si>
  <si>
    <t>Updated design should have rectified.</t>
  </si>
  <si>
    <t>PIER-REPORT; coherence/evidence/pier_review_2026-10-09.xlsx, item 07; tasks/T006/response-disposition.json, item 07; coherence/evidence/2026-10-10/source_update.json</t>
  </si>
  <si>
    <t>COH-008</t>
  </si>
  <si>
    <t>Spacing and fabrication takeoff</t>
  </si>
  <si>
    <t>New pier gross steel is 1260.94 lb and excludes laps, closures, undrawn anchorage and waste. Spacing/fabrication review remains deferred to shops by recorded direction.</t>
  </si>
  <si>
    <t>Complete the tolerance and fabrication takeoff review at shops, preserving the deferral.</t>
  </si>
  <si>
    <t>We will model the rebar in cad to get exact quantities.</t>
  </si>
  <si>
    <t>PIER-REPORT; coherence/evidence/pier_review_2026-10-09.xlsx, item 08; tasks/T006/response-disposition.json, item 08; coherence/evidence/2026-10-10/source_update.json</t>
  </si>
  <si>
    <t>COH-009</t>
  </si>
  <si>
    <t>Three reference links</t>
  </si>
  <si>
    <t>T006 repaired the two CodePage42 references and the CodePage14 reference using verified existing targets.</t>
  </si>
  <si>
    <t>No action for these three historical links.</t>
  </si>
  <si>
    <t>repair now — recorded response, 9 October 2026.</t>
  </si>
  <si>
    <t>Existing T006 acceptance and evidence hashes verified; its final review records zero stored errors and zero broken links.</t>
  </si>
  <si>
    <t>JOURNAL; coherence/evidence/pier_review_2026-10-09.xlsx, item 09; coherence/evidence/end_bent_response_review.md; tasks/T006/response-disposition.json, item 09; coherence/evidence/2026-10-10/source_update.json</t>
  </si>
  <si>
    <t>COH-010</t>
  </si>
  <si>
    <t>End bents</t>
  </si>
  <si>
    <t>Backwall and cheek-wall quantities</t>
  </si>
  <si>
    <t>Final wall geometry and quantities were deferred. Cap-only quantities exclude walls.</t>
  </si>
  <si>
    <t>Supply final wall details, then reconcile quantities and dead loads.</t>
  </si>
  <si>
    <t>Will address later — recorded user response, 8 October 2026.</t>
  </si>
  <si>
    <t>JOURNAL; coherence/evidence/end_bent_response_review.md, item 02</t>
  </si>
  <si>
    <t>COH-011</t>
  </si>
  <si>
    <t>Revised U-bar hooks</t>
  </si>
  <si>
    <t>The new end-bent report includes #5 U-bars with 50-degree trial rotations and 3.75-in tails. Rotated-hook development and engagement remain PENDING.</t>
  </si>
  <si>
    <t>Verify revised hook clearance, development and engagement. Separate end-face U-grid failure is COH-020.</t>
  </si>
  <si>
    <t>Field-bend interfering hooks for clearance — recorded user direction, 8 October 2026.</t>
  </si>
  <si>
    <t>EB-REPORT; coherence/evidence/end_bent_response_review.md, item 06; coherence/evidence/2026-10-10/source_update.json</t>
  </si>
  <si>
    <t>COH-012</t>
  </si>
  <si>
    <t>New end-bent report: 50 pending entries and two FAIL entries (end-grid clearance and aggregate summary). Service III remains N/A by D-007; other pending checks remain separate.</t>
  </si>
  <si>
    <t>Record evidence/disposition for remaining fatigue, anchorage, shear prerequisites, face reinforcement, D-regions and exposure checks.</t>
  </si>
  <si>
    <t>These are ok.</t>
  </si>
  <si>
    <t>EB-REPORT; coherence/evidence/end_bent_response_review.md, item 07; coherence/evidence/2026-10-10/source_update.json</t>
  </si>
  <si>
    <t>COH-013</t>
  </si>
  <si>
    <t>FBMP</t>
  </si>
  <si>
    <t>Report-matching FBMP exports</t>
  </si>
  <si>
    <t>The selected cap reports name exact raw FBMP exports that are not in project_current. Pier (PIER-REPORT, 12 Oct) requires SHA-256 c8420fad...; the user supplied this file on 16 Oct for comparison only. End Bent 1 (EB-REPORT, 14 Oct) requires 23bb3afc... and End Bent 2 (EB2-REPORT, 14 Oct) requires 56f78267...; neither was supplied. Registered PIER-XML and EB-XML are prior exports matching superseded reports only.</t>
  </si>
  <si>
    <t>Submit the exact XML exports behind the final selected cap reports, with their native run records. After the COH-028 pile-head reruns these are the rerun exports and regenerated reports. Do not substitute older exports.</t>
  </si>
  <si>
    <t>16 Oct: Lets leave the FBMP xml files submittal to the source as an open item.</t>
  </si>
  <si>
    <t>10 Oct: the supplied EB1 export 8414fb... matched the 10 October report. The 12 and 14 October reports then named new exports. 16 Oct: the supplied pier export c8420fad... was compared (pile heads at EL 41.7717 ft, COH-028) and left unsubmitted by user direction. See coherence/evidence/2026-10-16-fbmp-pile-heads/pile_heads.json.</t>
  </si>
  <si>
    <t>EB-REPORT; EB-XML; coherence/evidence/end_bent_provenance.json; coherence/evidence/2026-10-10/source_update.json; PIER-REPORT; PIER-XML; EB2-REPORT; EB2-XML; coherence/evidence/2026-10-12/source_update.json; coherence/evidence/2026-10-16-fbmp-pile-heads/pile_heads.json</t>
  </si>
  <si>
    <t>COH-014</t>
  </si>
  <si>
    <t>Common controlling design basis</t>
  </si>
  <si>
    <t>D-004 common end-bent design direction is preserved. New End Bent 1 data do not establish that its actions bound End Bent 2.</t>
  </si>
  <si>
    <t>Document how the revised End Bent 1 actions bound both end bents.</t>
  </si>
  <si>
    <t>Use the common controlling end-bent design — recorded user direction, 8 October 2026.</t>
  </si>
  <si>
    <t>EB-REPORT; coherence/evidence/end_bent_response_review.md, item 08; coherence/evidence/2026-10-10/source_update.json</t>
  </si>
  <si>
    <t>COH-015</t>
  </si>
  <si>
    <t>Superstructure</t>
  </si>
  <si>
    <t>Mathcad companion data</t>
  </si>
  <si>
    <t>The selected worksheets name PedestrianBridge2Beam_Span1.dat and PedestrianBridge2Beam_Span2.dat. Neither file was supplied.</t>
  </si>
  <si>
    <t>Add the matching .dat files and verify the worksheets load the intended project inputs.</t>
  </si>
  <si>
    <t>Added</t>
  </si>
  <si>
    <t>MCAD-S1; MCAD-S2; MCAD-DAT1; MCAD-DAT2</t>
  </si>
  <si>
    <t>COH-016</t>
  </si>
  <si>
    <t>PSBeam run packages</t>
  </si>
  <si>
    <t>No native PSBeam runs or current output reports have been selected for either span.</t>
  </si>
  <si>
    <t>Add each span input/run file and matching output report, with software version and run date.</t>
  </si>
  <si>
    <t>PSB-S1; PSB-S2</t>
  </si>
  <si>
    <t>COH-017</t>
  </si>
  <si>
    <t>Mathcad / project comparison</t>
  </si>
  <si>
    <t>The sheets are user-selected current. A full comparison of spans, bearing offsets, loads and reactions with the journal and geometry model has not been performed.</t>
  </si>
  <si>
    <t>Recalculate with the companion data and compare inputs/outputs. Review the repeated 107.35-ft PSBeam narrative in the Span 2 sheet.</t>
  </si>
  <si>
    <t>Need to look closely at the L_Beam assumptions given bearing details.</t>
  </si>
  <si>
    <t>MCAD-S1; MCAD-S2; GEOMETRY; JOURNAL</t>
  </si>
  <si>
    <t>COH-018</t>
  </si>
  <si>
    <t>Geometry</t>
  </si>
  <si>
    <t>Complete notebook comparison</t>
  </si>
  <si>
    <t>Selected cap dimensions match the new saved cases. Geometry notebook still cites the earlier journal; full schedules, elevations, offsets and T006 wind dependencies need review.</t>
  </si>
  <si>
    <t>Reconcile complete saved geometry and derived schedules with accepted T006, documenting conventions.</t>
  </si>
  <si>
    <t>GEOMETRY; JOURNAL; ROADWAY; coherence/evidence/2026-10-10/source_update.json</t>
  </si>
  <si>
    <t>COH-019</t>
  </si>
  <si>
    <t>End-face U-grid pile clearance</t>
  </si>
  <si>
    <t>New pier report flags End U grid pile-envelope clearance FAIL. Displayed 2 is a failure flag; the second FAIL is the aggregate actual-cage summary.</t>
  </si>
  <si>
    <t>Review and revise the end-face U-grid detail against pile envelopes and fabrication tolerances; regenerate and verify the report.</t>
  </si>
  <si>
    <t>PIER-REPORT; PIER-CASE; coherence/evidence/2026-10-10/source_update.json</t>
  </si>
  <si>
    <t>COH-020</t>
  </si>
  <si>
    <t>New end-bent report flags End U grid pile-envelope clearance FAIL. Displayed 2 is a failure flag; the second FAIL is the aggregate actual-cage summary.</t>
  </si>
  <si>
    <t>Review and revise the end-face U-grid detail and verify it for both ends; regenerate and verify the report.</t>
  </si>
  <si>
    <t>These are ok. They can be rotated in field if necessary.</t>
  </si>
  <si>
    <t>EB-REPORT; EB-CASE; coherence/evidence/2026-10-10/source_update.json</t>
  </si>
  <si>
    <t>COH-021</t>
  </si>
  <si>
    <t>Calculation tool</t>
  </si>
  <si>
    <t>Unregistered tool revisions</t>
  </si>
  <si>
    <t>The GitHub notebook and local working notebook both differ from the registered CAP-TOOL fingerprint. Their relationship to the supplied report export code is not established.</t>
  </si>
  <si>
    <t>Identify the report-generating tool revision, review its changes and consumers, then record an explicit adoption.</t>
  </si>
  <si>
    <t>CAP-TOOL; coherence/evidence/2026-10-10/source_update.json</t>
  </si>
  <si>
    <t>COH-022</t>
  </si>
  <si>
    <t>Current cap source references</t>
  </si>
  <si>
    <t>T006 journal source notes cite the prior 9 October pier report. Current project reports are the two supplied 10 October snapshots; C005 remains historical by D-003.</t>
  </si>
  <si>
    <t>Refresh journal source references through the bounded BPAD workflow when directed; preserve C005 and distinguish selected sources from accepted calculations.</t>
  </si>
  <si>
    <t>JOURNAL; PIER-REPORT; EB-REPORT; coherence/evidence/2026-10-10/source_update.json</t>
  </si>
  <si>
    <t>COH-023</t>
  </si>
  <si>
    <t>CAD / calculations</t>
  </si>
  <si>
    <t>Reconcile adopted MSE and cheek revision</t>
  </si>
  <si>
    <t>D-026 adopts 235 in end caps, revised walls and single centered #4 cheek mats. Current notebook/report geometry and Figure B8 do not represent these details.</t>
  </si>
  <si>
    <t>Reconcile cap/wall calculations, loads and quantities with adopted CAD. Review anchorage, lug steel and strap interfaces before issuing details.</t>
  </si>
  <si>
    <t>Incorporate all these changes into the main model and add to the project source.</t>
  </si>
  <si>
    <t>CAD adoption verified; calculation reconciliation remains open. D-033 raises cheek tops to the return bases and deepens transverse return bottoms to the slab. Cheek mats total 52 bars and lug WWR totals 180 wires. Reconcile revised quantities and loads. 16 Oct (D-036): the geometry notebook now owns the 235-in caps, backwalls, cheek webs and lugs (cheek tops = D-033 return bases). 105 native station cuts and the cheek/cap volumes match the D-034 CAD solids; the CAD EB1 backwall seat holds 0.117 ft3 more (MSE landing) and is to be rebuilt from the notebook. Cap/wall loads, quantities, anchorage, lug steel and strap interfaces remain open.</t>
  </si>
  <si>
    <t>D-026; CAD-MODEL; MSE-DETAIL-DXF; EB-CASE; EB2-CASE; BACKWALL-REPORT; GEOMETRY; D-036; GEOMETRY-TABLES</t>
  </si>
  <si>
    <t>COH-024</t>
  </si>
  <si>
    <t>CAD / reinforcement</t>
  </si>
  <si>
    <t>Coordinate cap and cheek steel</t>
  </si>
  <si>
    <t>D-029 resolves all eight cap/cheek overlaps by lowering MH03 3/8 in on each cheek. Four MH03-MH04 spacings are now 12 3/8 in, exceeding the existing 12 in maximum. These spacing findings remain open by user direction.</t>
  </si>
  <si>
    <t>Review the four 12 3/8 in horizontal spacings. Other cover, pile-clearance, cap and backwall steel findings remain open.</t>
  </si>
  <si>
    <t>I ran the cage designs for the out to out distance and expected the cheek wall steel to coincide with the cap steel.
Follow-up: Remove one bar of the close left pair, pull outer verticals inside the long bars, and move the first stirrup inside the cheek mats. They can touch; they cannot clash. Bring them just inside.
Follow-up: Keep the stirrup at its prior position. Shift only the clashing horizontal row vertically and flag the resulting 12 3/8 in spacing. Keep this revision local.</t>
  </si>
  <si>
    <t>D-027: 62 cap bars per end bent modeled from supplied cases. Concrete and cheek steel unchanged. No clash repair or detailing acceptance yet.
D-028: One vertical removed per cheek, outer verticals moved just inside cap bars, and end hoops moved inward of the mats. 48 cheek bars; 62 cap bars per end. Concrete, other bars and original case files preserved. Eight horizontal-bar intersections remain.
D-029: Lowered only MH03 by 3/8 in at all four cheeks. All eight cap/cheek intersections resolved. Prior stirrup stations and all other bars preserved. Four spacing checks remain FAIL at 12 3/8 in; no threshold relaxed.</t>
  </si>
  <si>
    <t>D-027; CAD-MODEL; EB-CASE; EB2-CASE; geometry/freecad/evidence/2026-10-14-end-caps/; D-028; geometry/freecad/evidence/2026-10-14-cap-cheek-coordination/; D-029; geometry/freecad/evidence/2026-10-14-horizontal-cheek/</t>
  </si>
  <si>
    <t>COH-025</t>
  </si>
  <si>
    <t>End-bent U-bar / hoop overlaps</t>
  </si>
  <si>
    <t>14 overlapping bar pairs remain: seven per end bent at four groups. Turned pile U-bar ends penetrate hoop bottoms. Each pair crosses on both cap sides (14 crossing points per end). Hoop stations: 58.875, 112.875, 166.875 and 192.125 in from the left outer cheek face.</t>
  </si>
  <si>
    <t>Review the U-bar / hoop intersections later and agree revisions. Recheck affected steel, cover, spacing, piles and WWR before closing. Leave current stirrups and U-bars unchanged.</t>
  </si>
  <si>
    <t>Lets leave these clashes for now but flag them for review later in the coherence log</t>
  </si>
  <si>
    <t>Deferred by user on 14 October 2026; unresolved positive-volume overlaps, not accepted as clear. CAD review confirms the same four groups at EB1 and EB2. This deferral concerns these 14 pairs only.</t>
  </si>
  <si>
    <t>CAD-MODEL; EB-CASE; EB2-CASE; geometry/freecad/evidence/2026-10-14-lug-wwr/stirrup-review/; D-030</t>
  </si>
  <si>
    <t>2026-10-14</t>
  </si>
  <si>
    <t>COH-026</t>
  </si>
  <si>
    <t>CAD / concrete</t>
  </si>
  <si>
    <t>Coping and MSE wall overlaps</t>
  </si>
  <si>
    <t>Three pre-existing coping/wall intersections remain at A6, A7 and B6. D-033 reduces them to 8,605.016, 1,762.803 and 20,377.450 in3. These are concrete ownership overlaps, separate from steel clashes.</t>
  </si>
  <si>
    <t>Agree concrete ownership and trim the coping/wall interfaces. Recheck concrete quantities and contact geometry.</t>
  </si>
  <si>
    <t>Native positive-volume intersections confirmed against the prior model. D-033 introduces no new affected concrete or steel intersections. Existing overlaps remain unresolved.</t>
  </si>
  <si>
    <t>D-033; CAD-MODEL; geometry/freecad/evidence/2026-10-15-return-cheeks/concrete-trial.json</t>
  </si>
  <si>
    <t>COH-027</t>
  </si>
  <si>
    <t>CAD / quantities</t>
  </si>
  <si>
    <t>Curved landing volume totals</t>
  </si>
  <si>
    <t>FreeCAD mass properties for both curved landing slabs are not additive. Raw totals decrease after positive material is added. The original slabs already differ from independent triangulated volumes.</t>
  </si>
  <si>
    <t>Completed D-034: use the verified NetVolume property for the two finished landings. The built-in Shape.Volume remains unsuitable for these curved solids.</t>
  </si>
  <si>
    <t>D-034: A 111.481112 ft3; B 88.556269 ft3. Adaptive vertical integration passes convergence, independent mesh and added-material checks. Native rebuild/reopen passes. Geometry, steel and colors unchanged.</t>
  </si>
  <si>
    <t>D-034; CAD-MODEL; geometry/freecad/evidence/2026-10-15-landing-quantities/update-summary.json</t>
  </si>
  <si>
    <t>COH-028</t>
  </si>
  <si>
    <t>Rerun final FBMP with current pile heads</t>
  </si>
  <si>
    <t>The 12 Oct D-022/D-023 camber update lowered every notebook pile cutoff by 0.084 in; D-036 changed no elevations. The report-matching pier export (c8420fad..., not submitted) has its pile heads at Z -501.26 in = EL 41.7717 ft, the pre-update cutoff, 0.081 in above the current 41.764940 ft. The 14 Oct end-bent exports cannot be checked (COH-013). Registered prior exports are older models at 41.4175 ft (pier) and 40.3608 ft (EB1).</t>
  </si>
  <si>
    <t>Rerun the final pier, End Bent 1 and End Bent 2 FBMP analyses with pile-head nodes at the notebook cutoffs: pier 41.764940 ft (Z -501.18 in), EB1 41.237692 ft (Z -494.85 in), EB2 41.249692 ft (Z -495.00 in). Confirm pile length, tip and soil inputs, and rerun minimum-tip variants still in use. Regenerate the cap reports and cases, then submit the exports under COH-013.</t>
  </si>
  <si>
    <t>16 Oct: flag the need to rerun the final FBMP runs with updated pile head elevations.</t>
  </si>
  <si>
    <t>Open. Pile heads measured from the export node coordinates and compared with notebook revisions before and after D-023; see coherence/evidence/2026-10-16-fbmp-pile-heads/pile_heads.json.</t>
  </si>
  <si>
    <t>GEOMETRY; D-022; D-023; D-036; PIER-REPORT; PIER-XML; PIER-MINTIP-XML; EB-REPORT; EB-XML; EB-MINTIP-XML; EB2-REPORT; EB2-XML; COH-013; coherence/evidence/2026-10-16-fbmp-pile-heads/pile_heads.json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</si>
</sst>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7">
    <font>
      <sz val="11"/>
      <name val="Carlito"/>
    </font>
    <font>
      <sz val="11"/>
      <color rgb="FF233448"/>
      <name val="Arial"/>
    </font>
    <font>
      <b/>
      <sz val="17"/>
      <color rgb="FF233448"/>
      <name val="Arial"/>
    </font>
    <font>
      <sz val="11"/>
      <color rgb="FF556575"/>
      <name val="Arial"/>
    </font>
    <font>
      <b/>
      <sz val="11"/>
      <color rgb="FFFFFFFF"/>
      <name val="Arial"/>
    </font>
    <font>
      <b/>
      <sz val="11"/>
      <color rgb="FF233448"/>
      <name val="Arial"/>
    </font>
    <font>
      <b/>
      <sz val="15"/>
      <color rgb="FF233448"/>
      <name val="Arial"/>
    </font>
  </fonts>
  <fills count="6">
    <fill>
      <patternFill patternType="none"/>
    </fill>
    <fill>
      <patternFill patternType="gray125"/>
    </fill>
    <fill>
      <patternFill patternType="solid">
        <fgColor rgb="FF30475E"/>
      </patternFill>
    </fill>
    <fill>
      <patternFill patternType="solid">
        <fgColor rgb="FFF4F7FA"/>
      </patternFill>
    </fill>
    <fill>
      <patternFill patternType="solid">
        <fgColor rgb="FFFFFFFF"/>
      </patternFill>
    </fill>
    <fill>
      <patternFill patternType="solid">
        <fgColor rgb="FFFFF3D6"/>
      </patternFill>
    </fill>
  </fills>
  <borders count="3">
    <border>
      <left/>
      <right/>
      <top/>
      <bottom/>
      <diagonal/>
    </border>
    <border>
      <left/>
      <right/>
      <top/>
      <bottom style="thin">
        <color rgb="FF8397AB"/>
      </bottom>
      <diagonal/>
    </border>
    <border>
      <left/>
      <right/>
      <top/>
      <bottom style="thin">
        <color rgb="FFDFE6ED"/>
      </bottom>
      <diagonal/>
    </border>
  </borders>
  <cellStyleXfs count="1">
    <xf numFmtId="0" fontId="0" fillId="0" borderId="0"/>
  </cellStyleXfs>
  <cellXfs count="16">
    <xf numFmtId="0" fontId="0" fillId="0" borderId="0" xfId="0"/>
    <xf numFmtId="0" fontId="1" fillId="0" borderId="0" xfId="0" applyFont="1" applyAlignment="1">
      <alignment vertical="center"/>
    </xf>
    <xf numFmtId="0" fontId="2" fillId="0" borderId="1" xfId="0" applyFont="1" applyBorder="1" applyAlignment="1">
      <alignment vertical="center"/>
    </xf>
    <xf numFmtId="0" fontId="1" fillId="0" borderId="1" xfId="0" applyFont="1" applyBorder="1" applyAlignment="1">
      <alignment vertical="center"/>
    </xf>
    <xf numFmtId="0" fontId="3" fillId="0" borderId="0" xfId="0" applyFont="1" applyAlignment="1">
      <alignment vertical="center"/>
    </xf>
    <xf numFmtId="0" fontId="4" fillId="2" borderId="0" xfId="0" applyFont="1" applyFill="1" applyAlignment="1">
      <alignment horizontal="center" vertical="center" wrapText="1"/>
    </xf>
    <xf numFmtId="0" fontId="1" fillId="3" borderId="2" xfId="0" applyFont="1" applyFill="1" applyBorder="1" applyAlignment="1">
      <alignment horizontal="center" vertical="top" wrapText="1"/>
    </xf>
    <xf numFmtId="0" fontId="1" fillId="3" borderId="2" xfId="0" applyFont="1" applyFill="1" applyBorder="1" applyAlignment="1">
      <alignment vertical="top" wrapText="1"/>
    </xf>
    <xf numFmtId="0" fontId="5" fillId="3" borderId="2" xfId="0" applyFont="1" applyFill="1" applyBorder="1" applyAlignment="1">
      <alignment vertical="top" wrapText="1"/>
    </xf>
    <xf numFmtId="0" fontId="1" fillId="4" borderId="2" xfId="0" applyFont="1" applyFill="1" applyBorder="1" applyAlignment="1">
      <alignment horizontal="center" vertical="top" wrapText="1"/>
    </xf>
    <xf numFmtId="0" fontId="1" fillId="4" borderId="2" xfId="0" applyFont="1" applyFill="1" applyBorder="1" applyAlignment="1">
      <alignment vertical="top" wrapText="1"/>
    </xf>
    <xf numFmtId="0" fontId="5" fillId="4" borderId="2" xfId="0" applyFont="1" applyFill="1" applyBorder="1" applyAlignment="1">
      <alignment vertical="top" wrapText="1"/>
    </xf>
    <xf numFmtId="0" fontId="1" fillId="5" borderId="2" xfId="0" applyFont="1" applyFill="1" applyBorder="1" applyAlignment="1">
      <alignment vertical="top" wrapText="1"/>
    </xf>
    <xf numFmtId="164" fontId="1" fillId="5" borderId="2" xfId="0" applyNumberFormat="1" applyFont="1" applyFill="1" applyBorder="1" applyAlignment="1">
      <alignment vertical="top" wrapText="1"/>
    </xf>
    <xf numFmtId="164" fontId="0" fillId="0" borderId="0" xfId="0" applyNumberFormat="1"/>
    <xf numFmtId="0" fontId="6" fillId="0" borderId="0" xfId="0" applyFont="1" applyAlignment="1">
      <alignment horizontal="center" vertical="center"/>
    </xf>
  </cellXfs>
  <cellStyles count="1">
    <cellStyle name="Normal" xfId="0" builtinId="0"/>
  </cellStyles>
  <dxfs count="5">
    <dxf>
      <font>
        <b/>
        <color rgb="FF9B2226"/>
      </font>
      <fill>
        <patternFill>
          <bgColor rgb="FFFBE3E3"/>
        </patternFill>
      </fill>
    </dxf>
    <dxf>
      <font>
        <color rgb="FF4B5A67"/>
      </font>
      <fill>
        <patternFill>
          <bgColor rgb="FFE9EEF2"/>
        </patternFill>
      </fill>
    </dxf>
    <dxf>
      <font>
        <color rgb="FF57466C"/>
      </font>
      <fill>
        <patternFill>
          <bgColor rgb="FFECE8F4"/>
        </patternFill>
      </fill>
    </dxf>
    <dxf>
      <font>
        <color rgb="FF8B3D16"/>
      </font>
      <fill>
        <patternFill>
          <bgColor rgb="FFFDE7D9"/>
        </patternFill>
      </fill>
    </dxf>
    <dxf>
      <font>
        <b/>
        <color rgb="FF9B2226"/>
      </font>
      <fill>
        <patternFill>
          <bgColor rgb="FFFBE3E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herenceItems" displayName="CoherenceItems" ref="A8:L68" totalsRowShown="0">
  <autoFilter ref="A8:L68" xr:uid="{00000000-0009-0000-0100-000001000000}"/>
  <tableColumns count="12">
    <tableColumn id="1" xr3:uid="{00000000-0010-0000-0000-000001000000}" name="Item ID"/>
    <tableColumn id="2" xr3:uid="{00000000-0010-0000-0000-000002000000}" name="Status"/>
    <tableColumn id="3" xr3:uid="{00000000-0010-0000-0000-000003000000}" name="Area"/>
    <tableColumn id="4" xr3:uid="{00000000-0010-0000-0000-000004000000}" name="Item"/>
    <tableColumn id="5" xr3:uid="{00000000-0010-0000-0000-000005000000}" name="Finding"/>
    <tableColumn id="6" xr3:uid="{00000000-0010-0000-0000-000006000000}" name="Next action"/>
    <tableColumn id="7" xr3:uid="{00000000-0010-0000-0000-000007000000}" name="Your response"/>
    <tableColumn id="8" xr3:uid="{00000000-0010-0000-0000-000008000000}" name="Owner"/>
    <tableColumn id="9" xr3:uid="{00000000-0010-0000-0000-000009000000}" name="Due date"/>
    <tableColumn id="10" xr3:uid="{00000000-0010-0000-0000-00000A000000}" name="Resolution / evidence"/>
    <tableColumn id="11" xr3:uid="{00000000-0010-0000-0000-00000B000000}" name="Source references"/>
    <tableColumn id="12" xr3:uid="{00000000-0010-0000-0000-00000C000000}" name="Last review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0475E"/>
  </sheetPr>
  <dimension ref="A1:L1008"/>
  <sheetViews>
    <sheetView showGridLines="0" tabSelected="1" topLeftCell="A25" workbookViewId="0">
      <selection activeCell="D28" sqref="D28"/>
    </sheetView>
  </sheetViews>
  <sheetFormatPr defaultRowHeight="13.5"/>
  <cols>
    <col min="1" max="1" width="10.5" customWidth="1"/>
    <col min="2" max="2" width="18" customWidth="1"/>
    <col min="3" max="3" width="16.5" customWidth="1"/>
    <col min="4" max="4" width="25.625" customWidth="1"/>
    <col min="5" max="5" width="47.75" customWidth="1"/>
    <col min="6" max="6" width="43.75" customWidth="1"/>
    <col min="7" max="7" width="41.25" customWidth="1"/>
    <col min="8" max="8" width="15" customWidth="1"/>
    <col min="9" max="9" width="13" customWidth="1"/>
    <col min="10" max="10" width="41.25" customWidth="1"/>
    <col min="11" max="11" width="43.75" customWidth="1"/>
    <col min="12" max="12" width="14.75" customWidth="1"/>
  </cols>
  <sheetData>
    <row r="1" spans="1:12" ht="9" customHeight="1">
      <c r="A1" s="1"/>
      <c r="B1" s="1"/>
      <c r="C1" s="1"/>
      <c r="D1" s="1"/>
      <c r="E1" s="1"/>
      <c r="F1" s="1"/>
      <c r="G1" s="1"/>
      <c r="H1" s="1"/>
      <c r="I1" s="1"/>
      <c r="J1" s="1"/>
      <c r="K1" s="1"/>
      <c r="L1" s="1"/>
    </row>
    <row r="2" spans="1:12" ht="26.25" customHeight="1">
      <c r="A2" s="2" t="s">
        <v>0</v>
      </c>
      <c r="B2" s="3"/>
      <c r="C2" s="3"/>
      <c r="D2" s="3"/>
      <c r="E2" s="3"/>
      <c r="F2" s="3"/>
      <c r="G2" s="3"/>
      <c r="H2" s="3"/>
      <c r="I2" s="3"/>
      <c r="J2" s="3"/>
      <c r="K2" s="3"/>
      <c r="L2" s="3"/>
    </row>
    <row r="3" spans="1:12" ht="18.75" customHeight="1">
      <c r="A3" s="4" t="s">
        <v>1</v>
      </c>
      <c r="B3" s="1"/>
      <c r="C3" s="1"/>
      <c r="D3" s="1"/>
      <c r="E3" s="1"/>
      <c r="F3" s="1"/>
      <c r="G3" s="1"/>
      <c r="H3" s="1"/>
      <c r="I3" s="1"/>
      <c r="J3" s="1"/>
      <c r="K3" s="1"/>
      <c r="L3" s="1"/>
    </row>
    <row r="4" spans="1:12" ht="21" customHeight="1">
      <c r="A4" s="1" t="s">
        <v>2</v>
      </c>
      <c r="B4" s="15">
        <f>COUNTIFS($A$9:$A$1008,"&lt;&gt;",$B$9:$B$1008,"&lt;&gt;Closed",$B$9:$B$1008,"&lt;&gt;Not applicable")</f>
        <v>15</v>
      </c>
      <c r="C4" s="1" t="s">
        <v>3</v>
      </c>
      <c r="D4" s="15">
        <f>COUNTIFS($A$9:$A$1008,"&lt;&gt;",$B$9:$B$1008,"Awaiting source")</f>
        <v>1</v>
      </c>
      <c r="E4" s="1" t="s">
        <v>4</v>
      </c>
      <c r="F4" s="15">
        <f>COUNTIFS($A$9:$A$1008,"&lt;&gt;",$B$9:$B$1008,"Deferred")</f>
        <v>2</v>
      </c>
      <c r="G4" s="1" t="s">
        <v>5</v>
      </c>
      <c r="H4" s="15">
        <f>COUNTIFS($A$9:$A$1008,"&lt;&gt;",$B$9:$B$1008,"Closed")+COUNTIFS($A$9:$A$1008,"&lt;&gt;",$B$9:$B$1008,"Not applicable")</f>
        <v>13</v>
      </c>
      <c r="I4" s="1"/>
      <c r="J4" s="1"/>
      <c r="K4" s="1"/>
      <c r="L4" s="1"/>
    </row>
    <row r="5" spans="1:12" ht="17.25" customHeight="1">
      <c r="A5" s="4" t="s">
        <v>6</v>
      </c>
      <c r="B5" s="4"/>
      <c r="C5" s="4"/>
      <c r="D5" s="4"/>
      <c r="E5" s="4"/>
      <c r="F5" s="4"/>
      <c r="G5" s="4"/>
      <c r="H5" s="4"/>
      <c r="I5" s="4"/>
      <c r="J5" s="4"/>
      <c r="K5" s="4"/>
      <c r="L5" s="4"/>
    </row>
    <row r="6" spans="1:12" ht="17.25" customHeight="1">
      <c r="A6" s="4" t="s">
        <v>7</v>
      </c>
      <c r="B6" s="4"/>
      <c r="C6" s="4"/>
      <c r="D6" s="4"/>
      <c r="E6" s="4"/>
      <c r="F6" s="4"/>
      <c r="G6" s="4"/>
      <c r="H6" s="4"/>
      <c r="I6" s="4"/>
      <c r="J6" s="4"/>
      <c r="K6" s="4"/>
      <c r="L6" s="4"/>
    </row>
    <row r="7" spans="1:12" ht="9" customHeight="1">
      <c r="A7" s="1"/>
      <c r="B7" s="1"/>
      <c r="C7" s="1"/>
      <c r="D7" s="1"/>
      <c r="E7" s="1"/>
      <c r="F7" s="1"/>
      <c r="G7" s="1"/>
      <c r="H7" s="1"/>
      <c r="I7" s="1"/>
      <c r="J7" s="1"/>
      <c r="K7" s="1"/>
      <c r="L7" s="1"/>
    </row>
    <row r="8" spans="1:12" ht="30" customHeight="1">
      <c r="A8" s="5" t="s">
        <v>8</v>
      </c>
      <c r="B8" s="5" t="s">
        <v>9</v>
      </c>
      <c r="C8" s="5" t="s">
        <v>10</v>
      </c>
      <c r="D8" s="5" t="s">
        <v>11</v>
      </c>
      <c r="E8" s="5" t="s">
        <v>12</v>
      </c>
      <c r="F8" s="5" t="s">
        <v>13</v>
      </c>
      <c r="G8" s="5" t="s">
        <v>14</v>
      </c>
      <c r="H8" s="5" t="s">
        <v>15</v>
      </c>
      <c r="I8" s="5" t="s">
        <v>16</v>
      </c>
      <c r="J8" s="5" t="s">
        <v>17</v>
      </c>
      <c r="K8" s="5" t="s">
        <v>18</v>
      </c>
      <c r="L8" s="5" t="s">
        <v>19</v>
      </c>
    </row>
    <row r="9" spans="1:12" ht="116" customHeight="1">
      <c r="A9" s="6" t="s">
        <v>20</v>
      </c>
      <c r="B9" s="12" t="s">
        <v>21</v>
      </c>
      <c r="C9" s="7" t="s">
        <v>22</v>
      </c>
      <c r="D9" s="8" t="s">
        <v>23</v>
      </c>
      <c r="E9" s="7" t="s">
        <v>24</v>
      </c>
      <c r="F9" s="7" t="s">
        <v>25</v>
      </c>
      <c r="G9" s="12" t="s">
        <v>26</v>
      </c>
      <c r="H9" s="12"/>
      <c r="I9" s="13"/>
      <c r="J9" s="12" t="s">
        <v>27</v>
      </c>
      <c r="K9" s="7" t="s">
        <v>28</v>
      </c>
      <c r="L9" s="13">
        <v>46305</v>
      </c>
    </row>
    <row r="10" spans="1:12" ht="116" customHeight="1">
      <c r="A10" s="9" t="s">
        <v>29</v>
      </c>
      <c r="B10" s="12" t="s">
        <v>21</v>
      </c>
      <c r="C10" s="10" t="s">
        <v>22</v>
      </c>
      <c r="D10" s="11" t="s">
        <v>30</v>
      </c>
      <c r="E10" s="10" t="s">
        <v>31</v>
      </c>
      <c r="F10" s="10" t="s">
        <v>32</v>
      </c>
      <c r="G10" s="12" t="s">
        <v>33</v>
      </c>
      <c r="H10" s="12"/>
      <c r="I10" s="13"/>
      <c r="J10" s="12"/>
      <c r="K10" s="10" t="s">
        <v>34</v>
      </c>
      <c r="L10" s="13">
        <v>46305</v>
      </c>
    </row>
    <row r="11" spans="1:12" ht="116" customHeight="1">
      <c r="A11" s="6" t="s">
        <v>35</v>
      </c>
      <c r="B11" s="12" t="s">
        <v>21</v>
      </c>
      <c r="C11" s="7" t="s">
        <v>22</v>
      </c>
      <c r="D11" s="8" t="s">
        <v>36</v>
      </c>
      <c r="E11" s="7" t="s">
        <v>37</v>
      </c>
      <c r="F11" s="7" t="s">
        <v>38</v>
      </c>
      <c r="G11" s="12" t="s">
        <v>39</v>
      </c>
      <c r="H11" s="12"/>
      <c r="I11" s="13"/>
      <c r="J11" s="12"/>
      <c r="K11" s="7" t="s">
        <v>40</v>
      </c>
      <c r="L11" s="13">
        <v>46305</v>
      </c>
    </row>
    <row r="12" spans="1:12" ht="116" customHeight="1">
      <c r="A12" s="9" t="s">
        <v>41</v>
      </c>
      <c r="B12" s="12" t="s">
        <v>42</v>
      </c>
      <c r="C12" s="10" t="s">
        <v>22</v>
      </c>
      <c r="D12" s="11" t="s">
        <v>43</v>
      </c>
      <c r="E12" s="10" t="s">
        <v>44</v>
      </c>
      <c r="F12" s="10" t="s">
        <v>45</v>
      </c>
      <c r="G12" s="12"/>
      <c r="H12" s="12"/>
      <c r="I12" s="13"/>
      <c r="J12" s="12" t="s">
        <v>46</v>
      </c>
      <c r="K12" s="10" t="s">
        <v>47</v>
      </c>
      <c r="L12" s="13">
        <v>46311</v>
      </c>
    </row>
    <row r="13" spans="1:12" ht="116" customHeight="1">
      <c r="A13" s="6" t="s">
        <v>48</v>
      </c>
      <c r="B13" s="12" t="s">
        <v>42</v>
      </c>
      <c r="C13" s="7" t="s">
        <v>22</v>
      </c>
      <c r="D13" s="8" t="s">
        <v>49</v>
      </c>
      <c r="E13" s="7" t="s">
        <v>50</v>
      </c>
      <c r="F13" s="7" t="s">
        <v>51</v>
      </c>
      <c r="G13" s="12"/>
      <c r="H13" s="12"/>
      <c r="I13" s="13"/>
      <c r="J13" s="12" t="s">
        <v>52</v>
      </c>
      <c r="K13" s="7" t="s">
        <v>53</v>
      </c>
      <c r="L13" s="13">
        <v>46305</v>
      </c>
    </row>
    <row r="14" spans="1:12" ht="116" customHeight="1">
      <c r="A14" s="9" t="s">
        <v>54</v>
      </c>
      <c r="B14" s="12" t="s">
        <v>21</v>
      </c>
      <c r="C14" s="10" t="s">
        <v>55</v>
      </c>
      <c r="D14" s="11" t="s">
        <v>56</v>
      </c>
      <c r="E14" s="10" t="s">
        <v>57</v>
      </c>
      <c r="F14" s="10" t="s">
        <v>58</v>
      </c>
      <c r="G14" s="12"/>
      <c r="H14" s="12"/>
      <c r="I14" s="13"/>
      <c r="J14" s="12" t="s">
        <v>59</v>
      </c>
      <c r="K14" s="10" t="s">
        <v>53</v>
      </c>
      <c r="L14" s="13">
        <v>46305</v>
      </c>
    </row>
    <row r="15" spans="1:12" ht="116" customHeight="1">
      <c r="A15" s="6" t="s">
        <v>60</v>
      </c>
      <c r="B15" s="12" t="s">
        <v>21</v>
      </c>
      <c r="C15" s="7" t="s">
        <v>22</v>
      </c>
      <c r="D15" s="8" t="s">
        <v>61</v>
      </c>
      <c r="E15" s="7" t="s">
        <v>62</v>
      </c>
      <c r="F15" s="7" t="s">
        <v>63</v>
      </c>
      <c r="G15" s="12" t="s">
        <v>64</v>
      </c>
      <c r="H15" s="12"/>
      <c r="I15" s="13"/>
      <c r="J15" s="12"/>
      <c r="K15" s="7" t="s">
        <v>65</v>
      </c>
      <c r="L15" s="13">
        <v>46305</v>
      </c>
    </row>
    <row r="16" spans="1:12" ht="116" customHeight="1">
      <c r="A16" s="9" t="s">
        <v>66</v>
      </c>
      <c r="B16" s="12" t="s">
        <v>21</v>
      </c>
      <c r="C16" s="10" t="s">
        <v>22</v>
      </c>
      <c r="D16" s="11" t="s">
        <v>67</v>
      </c>
      <c r="E16" s="10" t="s">
        <v>68</v>
      </c>
      <c r="F16" s="10" t="s">
        <v>69</v>
      </c>
      <c r="G16" s="12" t="s">
        <v>70</v>
      </c>
      <c r="H16" s="12"/>
      <c r="I16" s="13"/>
      <c r="J16" s="12"/>
      <c r="K16" s="10" t="s">
        <v>71</v>
      </c>
      <c r="L16" s="13">
        <v>46305</v>
      </c>
    </row>
    <row r="17" spans="1:12" ht="116" customHeight="1">
      <c r="A17" s="6" t="s">
        <v>72</v>
      </c>
      <c r="B17" s="12" t="s">
        <v>21</v>
      </c>
      <c r="C17" s="7" t="s">
        <v>55</v>
      </c>
      <c r="D17" s="8" t="s">
        <v>73</v>
      </c>
      <c r="E17" s="7" t="s">
        <v>74</v>
      </c>
      <c r="F17" s="7" t="s">
        <v>75</v>
      </c>
      <c r="G17" s="12" t="s">
        <v>76</v>
      </c>
      <c r="H17" s="12"/>
      <c r="I17" s="13"/>
      <c r="J17" s="12" t="s">
        <v>77</v>
      </c>
      <c r="K17" s="7" t="s">
        <v>78</v>
      </c>
      <c r="L17" s="13">
        <v>46305</v>
      </c>
    </row>
    <row r="18" spans="1:12" ht="67.5" customHeight="1">
      <c r="A18" s="9" t="s">
        <v>79</v>
      </c>
      <c r="B18" s="12" t="s">
        <v>4</v>
      </c>
      <c r="C18" s="10" t="s">
        <v>80</v>
      </c>
      <c r="D18" s="11" t="s">
        <v>81</v>
      </c>
      <c r="E18" s="10" t="s">
        <v>82</v>
      </c>
      <c r="F18" s="10" t="s">
        <v>83</v>
      </c>
      <c r="G18" s="12" t="s">
        <v>84</v>
      </c>
      <c r="H18" s="12"/>
      <c r="I18" s="13"/>
      <c r="J18" s="12"/>
      <c r="K18" s="10" t="s">
        <v>85</v>
      </c>
      <c r="L18" s="13">
        <v>46304</v>
      </c>
    </row>
    <row r="19" spans="1:12" ht="116" customHeight="1">
      <c r="A19" s="6" t="s">
        <v>86</v>
      </c>
      <c r="B19" s="12" t="s">
        <v>21</v>
      </c>
      <c r="C19" s="7" t="s">
        <v>80</v>
      </c>
      <c r="D19" s="8" t="s">
        <v>87</v>
      </c>
      <c r="E19" s="7" t="s">
        <v>88</v>
      </c>
      <c r="F19" s="7" t="s">
        <v>89</v>
      </c>
      <c r="G19" s="12" t="s">
        <v>90</v>
      </c>
      <c r="H19" s="12"/>
      <c r="I19" s="13"/>
      <c r="J19" s="12"/>
      <c r="K19" s="7" t="s">
        <v>91</v>
      </c>
      <c r="L19" s="13">
        <v>46305</v>
      </c>
    </row>
    <row r="20" spans="1:12" ht="116" customHeight="1">
      <c r="A20" s="9" t="s">
        <v>92</v>
      </c>
      <c r="B20" s="12" t="s">
        <v>21</v>
      </c>
      <c r="C20" s="10" t="s">
        <v>80</v>
      </c>
      <c r="D20" s="11" t="s">
        <v>61</v>
      </c>
      <c r="E20" s="10" t="s">
        <v>93</v>
      </c>
      <c r="F20" s="10" t="s">
        <v>94</v>
      </c>
      <c r="G20" s="12" t="s">
        <v>95</v>
      </c>
      <c r="H20" s="12"/>
      <c r="I20" s="13"/>
      <c r="J20" s="12"/>
      <c r="K20" s="10" t="s">
        <v>96</v>
      </c>
      <c r="L20" s="13">
        <v>46305</v>
      </c>
    </row>
    <row r="21" spans="1:12" ht="116" customHeight="1">
      <c r="A21" s="6" t="s">
        <v>97</v>
      </c>
      <c r="B21" s="12" t="s">
        <v>3</v>
      </c>
      <c r="C21" s="7" t="s">
        <v>98</v>
      </c>
      <c r="D21" s="8" t="s">
        <v>99</v>
      </c>
      <c r="E21" s="7" t="s">
        <v>100</v>
      </c>
      <c r="F21" s="7" t="s">
        <v>101</v>
      </c>
      <c r="G21" s="12" t="s">
        <v>102</v>
      </c>
      <c r="H21" s="12"/>
      <c r="I21" s="13"/>
      <c r="J21" s="12" t="s">
        <v>103</v>
      </c>
      <c r="K21" s="7" t="s">
        <v>104</v>
      </c>
      <c r="L21" s="13">
        <v>46311</v>
      </c>
    </row>
    <row r="22" spans="1:12" ht="116" customHeight="1">
      <c r="A22" s="9" t="s">
        <v>105</v>
      </c>
      <c r="B22" s="12" t="s">
        <v>42</v>
      </c>
      <c r="C22" s="10" t="s">
        <v>80</v>
      </c>
      <c r="D22" s="11" t="s">
        <v>106</v>
      </c>
      <c r="E22" s="10" t="s">
        <v>107</v>
      </c>
      <c r="F22" s="10" t="s">
        <v>108</v>
      </c>
      <c r="G22" s="12" t="s">
        <v>109</v>
      </c>
      <c r="H22" s="12"/>
      <c r="I22" s="13"/>
      <c r="J22" s="12"/>
      <c r="K22" s="10" t="s">
        <v>110</v>
      </c>
      <c r="L22" s="13">
        <v>46305</v>
      </c>
    </row>
    <row r="23" spans="1:12" ht="67.5" customHeight="1">
      <c r="A23" s="6" t="s">
        <v>111</v>
      </c>
      <c r="B23" s="12" t="s">
        <v>21</v>
      </c>
      <c r="C23" s="7" t="s">
        <v>112</v>
      </c>
      <c r="D23" s="8" t="s">
        <v>113</v>
      </c>
      <c r="E23" s="7" t="s">
        <v>114</v>
      </c>
      <c r="F23" s="7" t="s">
        <v>115</v>
      </c>
      <c r="G23" s="12" t="s">
        <v>116</v>
      </c>
      <c r="H23" s="12"/>
      <c r="I23" s="13"/>
      <c r="J23" s="12"/>
      <c r="K23" s="7" t="s">
        <v>117</v>
      </c>
      <c r="L23" s="13">
        <v>46304</v>
      </c>
    </row>
    <row r="24" spans="1:12" ht="67.5" customHeight="1">
      <c r="A24" s="9" t="s">
        <v>118</v>
      </c>
      <c r="B24" s="12" t="s">
        <v>21</v>
      </c>
      <c r="C24" s="10" t="s">
        <v>112</v>
      </c>
      <c r="D24" s="11" t="s">
        <v>119</v>
      </c>
      <c r="E24" s="10" t="s">
        <v>120</v>
      </c>
      <c r="F24" s="10" t="s">
        <v>121</v>
      </c>
      <c r="G24" s="12" t="s">
        <v>116</v>
      </c>
      <c r="H24" s="12"/>
      <c r="I24" s="13"/>
      <c r="J24" s="12"/>
      <c r="K24" s="10" t="s">
        <v>122</v>
      </c>
      <c r="L24" s="13">
        <v>46304</v>
      </c>
    </row>
    <row r="25" spans="1:12" ht="67.5" customHeight="1">
      <c r="A25" s="6" t="s">
        <v>123</v>
      </c>
      <c r="B25" s="12" t="s">
        <v>42</v>
      </c>
      <c r="C25" s="7" t="s">
        <v>112</v>
      </c>
      <c r="D25" s="8" t="s">
        <v>124</v>
      </c>
      <c r="E25" s="7" t="s">
        <v>125</v>
      </c>
      <c r="F25" s="7" t="s">
        <v>126</v>
      </c>
      <c r="G25" s="12" t="s">
        <v>127</v>
      </c>
      <c r="H25" s="12"/>
      <c r="I25" s="13"/>
      <c r="J25" s="12"/>
      <c r="K25" s="7" t="s">
        <v>128</v>
      </c>
      <c r="L25" s="13">
        <v>46304</v>
      </c>
    </row>
    <row r="26" spans="1:12" ht="116" customHeight="1">
      <c r="A26" s="9" t="s">
        <v>129</v>
      </c>
      <c r="B26" s="12" t="s">
        <v>42</v>
      </c>
      <c r="C26" s="10" t="s">
        <v>130</v>
      </c>
      <c r="D26" s="11" t="s">
        <v>131</v>
      </c>
      <c r="E26" s="10" t="s">
        <v>132</v>
      </c>
      <c r="F26" s="10" t="s">
        <v>133</v>
      </c>
      <c r="G26" s="12"/>
      <c r="H26" s="12"/>
      <c r="I26" s="13"/>
      <c r="J26" s="12"/>
      <c r="K26" s="10" t="s">
        <v>134</v>
      </c>
      <c r="L26" s="13">
        <v>46305</v>
      </c>
    </row>
    <row r="27" spans="1:12" ht="116" customHeight="1">
      <c r="A27" s="6" t="s">
        <v>135</v>
      </c>
      <c r="B27" s="12" t="s">
        <v>42</v>
      </c>
      <c r="C27" s="7" t="s">
        <v>22</v>
      </c>
      <c r="D27" s="7" t="s">
        <v>136</v>
      </c>
      <c r="E27" s="7" t="s">
        <v>137</v>
      </c>
      <c r="F27" s="7" t="s">
        <v>138</v>
      </c>
      <c r="G27" s="12"/>
      <c r="H27" s="12"/>
      <c r="I27" s="13"/>
      <c r="J27" s="12"/>
      <c r="K27" s="7" t="s">
        <v>139</v>
      </c>
      <c r="L27" s="13">
        <v>46305</v>
      </c>
    </row>
    <row r="28" spans="1:12" ht="116" customHeight="1">
      <c r="A28" s="9" t="s">
        <v>140</v>
      </c>
      <c r="B28" s="12" t="s">
        <v>21</v>
      </c>
      <c r="C28" s="10" t="s">
        <v>80</v>
      </c>
      <c r="D28" s="10" t="s">
        <v>136</v>
      </c>
      <c r="E28" s="10" t="s">
        <v>141</v>
      </c>
      <c r="F28" s="10" t="s">
        <v>142</v>
      </c>
      <c r="G28" s="12" t="s">
        <v>143</v>
      </c>
      <c r="H28" s="12"/>
      <c r="I28" s="13"/>
      <c r="J28" s="12"/>
      <c r="K28" s="10" t="s">
        <v>144</v>
      </c>
      <c r="L28" s="13">
        <v>46305</v>
      </c>
    </row>
    <row r="29" spans="1:12" ht="116" customHeight="1">
      <c r="A29" s="6" t="s">
        <v>145</v>
      </c>
      <c r="B29" s="12" t="s">
        <v>42</v>
      </c>
      <c r="C29" s="7" t="s">
        <v>146</v>
      </c>
      <c r="D29" s="7" t="s">
        <v>147</v>
      </c>
      <c r="E29" s="7" t="s">
        <v>148</v>
      </c>
      <c r="F29" s="7" t="s">
        <v>149</v>
      </c>
      <c r="G29" s="12"/>
      <c r="H29" s="12"/>
      <c r="I29" s="13"/>
      <c r="J29" s="12"/>
      <c r="K29" s="7" t="s">
        <v>150</v>
      </c>
      <c r="L29" s="13">
        <v>46305</v>
      </c>
    </row>
    <row r="30" spans="1:12" ht="116" customHeight="1">
      <c r="A30" s="9" t="s">
        <v>151</v>
      </c>
      <c r="B30" s="12" t="s">
        <v>42</v>
      </c>
      <c r="C30" s="10" t="s">
        <v>55</v>
      </c>
      <c r="D30" s="10" t="s">
        <v>152</v>
      </c>
      <c r="E30" s="10" t="s">
        <v>153</v>
      </c>
      <c r="F30" s="10" t="s">
        <v>154</v>
      </c>
      <c r="G30" s="12"/>
      <c r="H30" s="12"/>
      <c r="I30" s="13"/>
      <c r="J30" s="12"/>
      <c r="K30" s="10" t="s">
        <v>155</v>
      </c>
      <c r="L30" s="13">
        <v>46305</v>
      </c>
    </row>
    <row r="31" spans="1:12" ht="300" customHeight="1">
      <c r="A31" s="6" t="s">
        <v>156</v>
      </c>
      <c r="B31" s="12" t="s">
        <v>42</v>
      </c>
      <c r="C31" s="7" t="s">
        <v>157</v>
      </c>
      <c r="D31" s="7" t="s">
        <v>158</v>
      </c>
      <c xmlns="http://schemas.openxmlformats.org/spreadsheetml/2006/main" r="E31" s="7" t="str">
        <v>D-036 geometry and D-037 backwall report now represent the adopted caps and cheeks. D-039 updates CAD cheek mats to the report. Remaining reconciliation covers loads, quantities, anchorage, lug/strap interfaces and the EB1 backwall seat rebuild.</v>
      </c>
      <c r="F31" s="7" t="s">
        <v>160</v>
      </c>
      <c r="G31" s="12" t="s">
        <v>161</v>
      </c>
      <c r="H31" s="12"/>
      <c r="I31" s="13"/>
      <c xmlns="http://schemas.openxmlformats.org/spreadsheetml/2006/main" r="J31" s="12" t="str">
        <v>CAD adoption verified; calculation reconciliation remains open. D-033 raises cheek tops to the return bases and deepens transverse return bottoms to the slab. Cheek mats total 52 bars and lug WWR totals 180 wires. Reconcile revised quantities and loads. 16 Oct (D-036): the geometry notebook now owns the 235-in caps, backwalls, cheek webs and lugs (cheek tops = D-033 return bases). 105 native station cuts and the cheek/cap volumes match the D-034 CAD solids; the CAD EB1 backwall seat holds 0.117 ft3 more (MSE landing) and is to be rebuilt from the notebook. Cap/wall loads, quantities, anchorage, lug steel and strap interfaces remain open.
16 Oct (D-039): CAD now has 64 cheek bars, one centered #4 mat at 10 in maximum each way. Physical checks and native reopen pass. Lug WWR remains 180 wires. Other reconciliation remains open.</v>
      </c>
      <c xmlns="http://schemas.openxmlformats.org/spreadsheetml/2006/main" r="K31" s="7" t="str">
        <v>D-026; CAD-MODEL; MSE-DETAIL-DXF; EB-CASE; EB2-CASE; BACKWALL-REPORT; GEOMETRY; D-036; GEOMETRY-TABLES; D-039; BACKWALL-CASE</v>
      </c>
      <c r="L31" s="13">
        <v>46311</v>
      </c>
    </row>
    <row r="32" spans="1:12" ht="400" customHeight="1">
      <c r="A32" s="9" t="s">
        <v>164</v>
      </c>
      <c r="B32" s="12" t="s">
        <v>42</v>
      </c>
      <c r="C32" s="10" t="s">
        <v>165</v>
      </c>
      <c r="D32" s="10" t="s">
        <v>166</v>
      </c>
      <c xmlns="http://schemas.openxmlformats.org/spreadsheetml/2006/main" r="E32" s="10" t="str">
        <v>D-039 replaces the four 12 3/8 in spacing failures with centered #4 mats at 10 in maximum each way. All cheek geometry, cover, spacing, cap-bar and lug-mesh checks pass. Other cap/backwall detailing findings remain open.</v>
      </c>
      <c xmlns="http://schemas.openxmlformats.org/spreadsheetml/2006/main" r="F32" s="10" t="str">
        <v>Review remaining cap/backwall cover, pile clearance, anchorage and fabrication findings. Cheek spacing and cap/cheek overlap findings are resolved. Keep the separate COH-025 U-bar/hoop deferral.</v>
      </c>
      <c r="G32" s="12" t="s">
        <v>169</v>
      </c>
      <c r="H32" s="12"/>
      <c r="I32" s="13"/>
      <c xmlns="http://schemas.openxmlformats.org/spreadsheetml/2006/main" r="J32" s="12" t="str">
        <v>D-027: 62 cap bars per end bent modeled from supplied cases. Concrete and cheek steel unchanged. No clash repair or detailing acceptance yet.
D-028: One vertical removed per cheek, outer verticals moved just inside cap bars, and end hoops moved inward of the mats. 48 cheek bars; 62 cap bars per end. Concrete, other bars and original case files preserved. Eight horizontal-bar intersections remain.
D-029: Lowered only MH03 by 3/8 in at all four cheeks. All eight cap/cheek intersections resolved. Prior stirrup stations and all other bars preserved. Four spacing checks remain FAIL at 12 3/8 in; no threshold relaxed.
D-039 (16 Oct): selected report applied to all four cheeks. 64 bars total (5 vertical + 11 horizontal each), 10 in maximum each way. Outer vertical stations retained; inner bars and horizontal phase coordinated with cap steel and WWR. Four spacing failures resolved; no affected overlaps. Cap/backwall/pedestal steel and 180 lug wires preserved.</v>
      </c>
      <c xmlns="http://schemas.openxmlformats.org/spreadsheetml/2006/main" r="K32" s="10" t="str">
        <v>D-027; CAD-MODEL; EB-CASE; EB2-CASE; geometry/freecad/evidence/2026-10-14-end-caps/; D-028; geometry/freecad/evidence/2026-10-14-cap-cheek-coordination/; D-029; geometry/freecad/evidence/2026-10-14-horizontal-cheek/; D-039; BACKWALL-REPORT; BACKWALL-CASE; geometry/freecad/evidence/2026-10-16-cheek-steel/update-summary.json</v>
      </c>
      <c xmlns="http://schemas.openxmlformats.org/spreadsheetml/2006/main" r="L32" s="13" t="d">
        <v>2026-10-16T00:00:00.000Z</v>
      </c>
    </row>
    <row r="33" spans="1:12" ht="200" customHeight="1">
      <c r="A33" s="6" t="s">
        <v>172</v>
      </c>
      <c r="B33" s="12" t="s">
        <v>4</v>
      </c>
      <c r="C33" s="7" t="s">
        <v>165</v>
      </c>
      <c r="D33" s="7" t="s">
        <v>173</v>
      </c>
      <c r="E33" s="7" t="s">
        <v>174</v>
      </c>
      <c r="F33" s="7" t="s">
        <v>175</v>
      </c>
      <c r="G33" s="12" t="s">
        <v>176</v>
      </c>
      <c r="H33" s="12"/>
      <c r="I33" s="13"/>
      <c r="J33" s="12" t="s">
        <v>177</v>
      </c>
      <c r="K33" s="7" t="s">
        <v>178</v>
      </c>
      <c r="L33" s="13" t="s">
        <v>179</v>
      </c>
    </row>
    <row r="34" spans="1:12" ht="180" customHeight="1">
      <c r="A34" s="9" t="s">
        <v>180</v>
      </c>
      <c r="B34" s="12" t="s">
        <v>42</v>
      </c>
      <c r="C34" s="10" t="s">
        <v>181</v>
      </c>
      <c r="D34" s="10" t="s">
        <v>182</v>
      </c>
      <c r="E34" s="10" t="s">
        <v>183</v>
      </c>
      <c r="F34" s="10" t="s">
        <v>184</v>
      </c>
      <c r="G34" s="12"/>
      <c r="H34" s="12"/>
      <c r="I34" s="13"/>
      <c r="J34" s="12" t="s">
        <v>185</v>
      </c>
      <c r="K34" s="10" t="s">
        <v>186</v>
      </c>
      <c r="L34" s="13">
        <v>46310</v>
      </c>
    </row>
    <row r="35" spans="1:12" ht="180" customHeight="1">
      <c r="A35" s="6" t="s">
        <v>187</v>
      </c>
      <c r="B35" s="12" t="s">
        <v>21</v>
      </c>
      <c r="C35" s="7" t="s">
        <v>188</v>
      </c>
      <c r="D35" s="7" t="s">
        <v>189</v>
      </c>
      <c r="E35" s="7" t="s">
        <v>190</v>
      </c>
      <c r="F35" s="7" t="s">
        <v>191</v>
      </c>
      <c r="G35" s="12"/>
      <c r="H35" s="12"/>
      <c r="I35" s="13"/>
      <c r="J35" s="12" t="s">
        <v>192</v>
      </c>
      <c r="K35" s="7" t="s">
        <v>193</v>
      </c>
      <c r="L35" s="13">
        <v>46310</v>
      </c>
    </row>
    <row r="36" spans="1:12" ht="180" customHeight="1">
      <c r="A36" s="6" t="s">
        <v>194</v>
      </c>
      <c r="B36" s="12" t="s">
        <v>42</v>
      </c>
      <c r="C36" s="7" t="s">
        <v>98</v>
      </c>
      <c r="D36" s="7" t="s">
        <v>195</v>
      </c>
      <c r="E36" s="7" t="s">
        <v>196</v>
      </c>
      <c r="F36" s="7" t="s">
        <v>197</v>
      </c>
      <c r="G36" s="12" t="s">
        <v>198</v>
      </c>
      <c r="H36" s="12"/>
      <c r="I36" s="13"/>
      <c r="J36" s="12" t="s">
        <v>199</v>
      </c>
      <c r="K36" s="7" t="s">
        <v>200</v>
      </c>
      <c r="L36" s="13">
        <v>46311</v>
      </c>
    </row>
    <row r="37" spans="1:12" ht="21" customHeight="1">
      <c r="A37" s="6"/>
      <c r="B37" s="12"/>
      <c r="C37" s="7"/>
      <c r="D37" s="7"/>
      <c r="E37" s="7"/>
      <c r="F37" s="7"/>
      <c r="G37" s="12"/>
      <c r="H37" s="12"/>
      <c r="I37" s="13"/>
      <c r="J37" s="12"/>
      <c r="K37" s="7"/>
      <c r="L37" s="13"/>
    </row>
    <row r="38" spans="1:12" ht="21" customHeight="1">
      <c r="A38" s="9"/>
      <c r="B38" s="12"/>
      <c r="C38" s="10"/>
      <c r="D38" s="10"/>
      <c r="E38" s="10"/>
      <c r="F38" s="10"/>
      <c r="G38" s="12"/>
      <c r="H38" s="12"/>
      <c r="I38" s="13"/>
      <c r="J38" s="12"/>
      <c r="K38" s="10"/>
      <c r="L38" s="13"/>
    </row>
    <row r="39" spans="1:12" ht="21" customHeight="1">
      <c r="A39" s="6"/>
      <c r="B39" s="12"/>
      <c r="C39" s="7"/>
      <c r="D39" s="7"/>
      <c r="E39" s="7"/>
      <c r="F39" s="7"/>
      <c r="G39" s="12"/>
      <c r="H39" s="12"/>
      <c r="I39" s="13"/>
      <c r="J39" s="12"/>
      <c r="K39" s="7"/>
      <c r="L39" s="13"/>
    </row>
    <row r="40" spans="1:12" ht="21" customHeight="1">
      <c r="A40" s="9"/>
      <c r="B40" s="12"/>
      <c r="C40" s="10"/>
      <c r="D40" s="10"/>
      <c r="E40" s="10"/>
      <c r="F40" s="10"/>
      <c r="G40" s="12"/>
      <c r="H40" s="12"/>
      <c r="I40" s="13"/>
      <c r="J40" s="12"/>
      <c r="K40" s="10"/>
      <c r="L40" s="13"/>
    </row>
    <row r="41" spans="1:12" ht="21" customHeight="1">
      <c r="A41" s="6"/>
      <c r="B41" s="12"/>
      <c r="C41" s="7"/>
      <c r="D41" s="7"/>
      <c r="E41" s="7"/>
      <c r="F41" s="7"/>
      <c r="G41" s="12"/>
      <c r="H41" s="12"/>
      <c r="I41" s="13"/>
      <c r="J41" s="12"/>
      <c r="K41" s="7"/>
      <c r="L41" s="13"/>
    </row>
    <row r="42" spans="1:12" ht="21" customHeight="1">
      <c r="A42" s="9"/>
      <c r="B42" s="12"/>
      <c r="C42" s="10"/>
      <c r="D42" s="10"/>
      <c r="E42" s="10"/>
      <c r="F42" s="10"/>
      <c r="G42" s="12"/>
      <c r="H42" s="12"/>
      <c r="I42" s="13"/>
      <c r="J42" s="12"/>
      <c r="K42" s="10"/>
      <c r="L42" s="13"/>
    </row>
    <row r="43" spans="1:12" ht="21" customHeight="1">
      <c r="A43" s="6"/>
      <c r="B43" s="12"/>
      <c r="C43" s="7"/>
      <c r="D43" s="7"/>
      <c r="E43" s="7"/>
      <c r="F43" s="7"/>
      <c r="G43" s="12"/>
      <c r="H43" s="12"/>
      <c r="I43" s="13"/>
      <c r="J43" s="12"/>
      <c r="K43" s="7"/>
      <c r="L43" s="13"/>
    </row>
    <row r="44" spans="1:12" ht="21" customHeight="1">
      <c r="A44" s="9"/>
      <c r="B44" s="12"/>
      <c r="C44" s="10"/>
      <c r="D44" s="10"/>
      <c r="E44" s="10"/>
      <c r="F44" s="10"/>
      <c r="G44" s="12"/>
      <c r="H44" s="12"/>
      <c r="I44" s="13"/>
      <c r="J44" s="12"/>
      <c r="K44" s="10"/>
      <c r="L44" s="13"/>
    </row>
    <row r="45" spans="1:12" ht="21" customHeight="1">
      <c r="A45" s="6"/>
      <c r="B45" s="12"/>
      <c r="C45" s="7"/>
      <c r="D45" s="7"/>
      <c r="E45" s="7"/>
      <c r="F45" s="7"/>
      <c r="G45" s="12"/>
      <c r="H45" s="12"/>
      <c r="I45" s="13"/>
      <c r="J45" s="12"/>
      <c r="K45" s="7"/>
      <c r="L45" s="13"/>
    </row>
    <row r="46" spans="1:12" ht="21" customHeight="1">
      <c r="A46" s="9"/>
      <c r="B46" s="12"/>
      <c r="C46" s="10"/>
      <c r="D46" s="10"/>
      <c r="E46" s="10"/>
      <c r="F46" s="10"/>
      <c r="G46" s="12"/>
      <c r="H46" s="12"/>
      <c r="I46" s="13"/>
      <c r="J46" s="12"/>
      <c r="K46" s="10"/>
      <c r="L46" s="13"/>
    </row>
    <row r="47" spans="1:12" ht="21" customHeight="1">
      <c r="A47" s="6"/>
      <c r="B47" s="12"/>
      <c r="C47" s="7"/>
      <c r="D47" s="7"/>
      <c r="E47" s="7"/>
      <c r="F47" s="7"/>
      <c r="G47" s="12"/>
      <c r="H47" s="12"/>
      <c r="I47" s="13"/>
      <c r="J47" s="12"/>
      <c r="K47" s="7"/>
      <c r="L47" s="13"/>
    </row>
    <row r="48" spans="1:12" ht="21" customHeight="1">
      <c r="A48" s="9"/>
      <c r="B48" s="12"/>
      <c r="C48" s="10"/>
      <c r="D48" s="10"/>
      <c r="E48" s="10"/>
      <c r="F48" s="10"/>
      <c r="G48" s="12"/>
      <c r="H48" s="12"/>
      <c r="I48" s="13"/>
      <c r="J48" s="12"/>
      <c r="K48" s="10"/>
      <c r="L48" s="13"/>
    </row>
    <row r="49" spans="1:12" ht="21" customHeight="1">
      <c r="A49" s="6"/>
      <c r="B49" s="12"/>
      <c r="C49" s="7"/>
      <c r="D49" s="7"/>
      <c r="E49" s="7"/>
      <c r="F49" s="7"/>
      <c r="G49" s="12"/>
      <c r="H49" s="12"/>
      <c r="I49" s="13"/>
      <c r="J49" s="12"/>
      <c r="K49" s="7"/>
      <c r="L49" s="13"/>
    </row>
    <row r="50" spans="1:12" ht="21" customHeight="1">
      <c r="A50" s="9"/>
      <c r="B50" s="12"/>
      <c r="C50" s="10"/>
      <c r="D50" s="10"/>
      <c r="E50" s="10"/>
      <c r="F50" s="10"/>
      <c r="G50" s="12"/>
      <c r="H50" s="12"/>
      <c r="I50" s="13"/>
      <c r="J50" s="12"/>
      <c r="K50" s="10"/>
      <c r="L50" s="13"/>
    </row>
    <row r="51" spans="1:12" ht="21" customHeight="1">
      <c r="A51" s="6"/>
      <c r="B51" s="12"/>
      <c r="C51" s="7"/>
      <c r="D51" s="7"/>
      <c r="E51" s="7"/>
      <c r="F51" s="7"/>
      <c r="G51" s="12"/>
      <c r="H51" s="12"/>
      <c r="I51" s="13"/>
      <c r="J51" s="12"/>
      <c r="K51" s="7"/>
      <c r="L51" s="13"/>
    </row>
    <row r="52" spans="1:12" ht="21" customHeight="1">
      <c r="A52" s="9"/>
      <c r="B52" s="12"/>
      <c r="C52" s="10"/>
      <c r="D52" s="10"/>
      <c r="E52" s="10"/>
      <c r="F52" s="10"/>
      <c r="G52" s="12"/>
      <c r="H52" s="12"/>
      <c r="I52" s="13"/>
      <c r="J52" s="12"/>
      <c r="K52" s="10"/>
      <c r="L52" s="13"/>
    </row>
    <row r="53" spans="1:12" ht="21" customHeight="1">
      <c r="A53" s="6"/>
      <c r="B53" s="12"/>
      <c r="C53" s="7"/>
      <c r="D53" s="7"/>
      <c r="E53" s="7"/>
      <c r="F53" s="7"/>
      <c r="G53" s="12"/>
      <c r="H53" s="12"/>
      <c r="I53" s="13"/>
      <c r="J53" s="12"/>
      <c r="K53" s="7"/>
      <c r="L53" s="13"/>
    </row>
    <row r="54" spans="1:12" ht="21" customHeight="1">
      <c r="A54" s="9"/>
      <c r="B54" s="12"/>
      <c r="C54" s="10"/>
      <c r="D54" s="10"/>
      <c r="E54" s="10"/>
      <c r="F54" s="10"/>
      <c r="G54" s="12"/>
      <c r="H54" s="12"/>
      <c r="I54" s="13"/>
      <c r="J54" s="12"/>
      <c r="K54" s="10"/>
      <c r="L54" s="13"/>
    </row>
    <row r="55" spans="1:12" ht="21" customHeight="1">
      <c r="A55" s="6"/>
      <c r="B55" s="12"/>
      <c r="C55" s="7"/>
      <c r="D55" s="7"/>
      <c r="E55" s="7"/>
      <c r="F55" s="7"/>
      <c r="G55" s="12"/>
      <c r="H55" s="12"/>
      <c r="I55" s="13"/>
      <c r="J55" s="12"/>
      <c r="K55" s="7"/>
      <c r="L55" s="13"/>
    </row>
    <row r="56" spans="1:12" ht="21" customHeight="1">
      <c r="A56" s="9"/>
      <c r="B56" s="12"/>
      <c r="C56" s="10"/>
      <c r="D56" s="10"/>
      <c r="E56" s="10"/>
      <c r="F56" s="10"/>
      <c r="G56" s="12"/>
      <c r="H56" s="12"/>
      <c r="I56" s="13"/>
      <c r="J56" s="12"/>
      <c r="K56" s="10"/>
      <c r="L56" s="13"/>
    </row>
    <row r="57" spans="1:12" ht="21" customHeight="1">
      <c r="A57" s="6"/>
      <c r="B57" s="12"/>
      <c r="C57" s="7"/>
      <c r="D57" s="7"/>
      <c r="E57" s="7"/>
      <c r="F57" s="7"/>
      <c r="G57" s="12"/>
      <c r="H57" s="12"/>
      <c r="I57" s="13"/>
      <c r="J57" s="12"/>
      <c r="K57" s="7"/>
      <c r="L57" s="13"/>
    </row>
    <row r="58" spans="1:12" ht="21" customHeight="1">
      <c r="A58" s="9"/>
      <c r="B58" s="12"/>
      <c r="C58" s="10"/>
      <c r="D58" s="10"/>
      <c r="E58" s="10"/>
      <c r="F58" s="10"/>
      <c r="G58" s="12"/>
      <c r="H58" s="12"/>
      <c r="I58" s="13"/>
      <c r="J58" s="12"/>
      <c r="K58" s="10"/>
      <c r="L58" s="13"/>
    </row>
    <row r="59" spans="1:12" ht="21" customHeight="1">
      <c r="A59" s="6"/>
      <c r="B59" s="12"/>
      <c r="C59" s="7"/>
      <c r="D59" s="7"/>
      <c r="E59" s="7"/>
      <c r="F59" s="7"/>
      <c r="G59" s="12"/>
      <c r="H59" s="12"/>
      <c r="I59" s="13"/>
      <c r="J59" s="12"/>
      <c r="K59" s="7"/>
      <c r="L59" s="13"/>
    </row>
    <row r="60" spans="1:12" ht="21" customHeight="1">
      <c r="A60" s="9"/>
      <c r="B60" s="12"/>
      <c r="C60" s="10"/>
      <c r="D60" s="10"/>
      <c r="E60" s="10"/>
      <c r="F60" s="10"/>
      <c r="G60" s="12"/>
      <c r="H60" s="12"/>
      <c r="I60" s="13"/>
      <c r="J60" s="12"/>
      <c r="K60" s="10"/>
      <c r="L60" s="13"/>
    </row>
    <row r="61" spans="1:12" ht="21" customHeight="1">
      <c r="A61" s="6"/>
      <c r="B61" s="12"/>
      <c r="C61" s="7"/>
      <c r="D61" s="7"/>
      <c r="E61" s="7"/>
      <c r="F61" s="7"/>
      <c r="G61" s="12"/>
      <c r="H61" s="12"/>
      <c r="I61" s="13"/>
      <c r="J61" s="12"/>
      <c r="K61" s="7"/>
      <c r="L61" s="13"/>
    </row>
    <row r="62" spans="1:12" ht="21" customHeight="1">
      <c r="A62" s="9"/>
      <c r="B62" s="12"/>
      <c r="C62" s="10"/>
      <c r="D62" s="10"/>
      <c r="E62" s="10"/>
      <c r="F62" s="10"/>
      <c r="G62" s="12"/>
      <c r="H62" s="12"/>
      <c r="I62" s="13"/>
      <c r="J62" s="12"/>
      <c r="K62" s="10"/>
      <c r="L62" s="13"/>
    </row>
    <row r="63" spans="1:12" ht="21" customHeight="1">
      <c r="A63" s="6"/>
      <c r="B63" s="12"/>
      <c r="C63" s="7"/>
      <c r="D63" s="7"/>
      <c r="E63" s="7"/>
      <c r="F63" s="7"/>
      <c r="G63" s="12"/>
      <c r="H63" s="12"/>
      <c r="I63" s="13"/>
      <c r="J63" s="12"/>
      <c r="K63" s="7"/>
      <c r="L63" s="13"/>
    </row>
    <row r="64" spans="1:12" ht="21" customHeight="1">
      <c r="A64" s="9"/>
      <c r="B64" s="12"/>
      <c r="C64" s="10"/>
      <c r="D64" s="10"/>
      <c r="E64" s="10"/>
      <c r="F64" s="10"/>
      <c r="G64" s="12"/>
      <c r="H64" s="12"/>
      <c r="I64" s="13"/>
      <c r="J64" s="12"/>
      <c r="K64" s="10"/>
      <c r="L64" s="13"/>
    </row>
    <row r="65" spans="1:12" ht="21" customHeight="1">
      <c r="A65" s="6"/>
      <c r="B65" s="12"/>
      <c r="C65" s="7"/>
      <c r="D65" s="7"/>
      <c r="E65" s="7"/>
      <c r="F65" s="7"/>
      <c r="G65" s="12"/>
      <c r="H65" s="12"/>
      <c r="I65" s="13"/>
      <c r="J65" s="12"/>
      <c r="K65" s="7"/>
      <c r="L65" s="13"/>
    </row>
    <row r="66" spans="1:12" ht="21" customHeight="1">
      <c r="A66" s="9"/>
      <c r="B66" s="12"/>
      <c r="C66" s="10"/>
      <c r="D66" s="10"/>
      <c r="E66" s="10"/>
      <c r="F66" s="10"/>
      <c r="G66" s="12"/>
      <c r="H66" s="12"/>
      <c r="I66" s="13"/>
      <c r="J66" s="12"/>
      <c r="K66" s="10"/>
      <c r="L66" s="13"/>
    </row>
    <row r="67" spans="1:12" ht="21" customHeight="1">
      <c r="A67" s="6"/>
      <c r="B67" s="12"/>
      <c r="C67" s="7"/>
      <c r="D67" s="7"/>
      <c r="E67" s="7"/>
      <c r="F67" s="7"/>
      <c r="G67" s="12"/>
      <c r="H67" s="12"/>
      <c r="I67" s="13"/>
      <c r="J67" s="12"/>
      <c r="K67" s="7"/>
      <c r="L67" s="13"/>
    </row>
    <row r="68" spans="1:12" ht="21" customHeight="1">
      <c r="A68" s="9"/>
      <c r="B68" s="12"/>
      <c r="C68" s="10"/>
      <c r="D68" s="10"/>
      <c r="E68" s="10"/>
      <c r="F68" s="10"/>
      <c r="G68" s="12"/>
      <c r="H68" s="12"/>
      <c r="I68" s="13"/>
      <c r="J68" s="12"/>
      <c r="K68" s="10"/>
      <c r="L68" s="13"/>
    </row>
    <row r="69" spans="1:12">
      <c r="I69" s="14"/>
      <c r="L69" s="14"/>
    </row>
    <row r="70" spans="1:12">
      <c r="I70" s="14"/>
      <c r="L70" s="14"/>
    </row>
    <row r="71" spans="1:12">
      <c r="I71" s="14"/>
      <c r="L71" s="14"/>
    </row>
    <row r="72" spans="1:12">
      <c r="I72" s="14"/>
      <c r="L72" s="14"/>
    </row>
    <row r="73" spans="1:12">
      <c r="I73" s="14"/>
      <c r="L73" s="14"/>
    </row>
    <row r="74" spans="1:12">
      <c r="I74" s="14"/>
      <c r="L74" s="14"/>
    </row>
    <row r="75" spans="1:12">
      <c r="I75" s="14"/>
      <c r="L75" s="14"/>
    </row>
    <row r="76" spans="1:12">
      <c r="I76" s="14"/>
      <c r="L76" s="14"/>
    </row>
    <row r="77" spans="1:12">
      <c r="I77" s="14"/>
      <c r="L77" s="14"/>
    </row>
    <row r="78" spans="1:12">
      <c r="I78" s="14"/>
      <c r="L78" s="14"/>
    </row>
    <row r="79" spans="1:12">
      <c r="I79" s="14"/>
      <c r="L79" s="14"/>
    </row>
    <row r="80" spans="1:12">
      <c r="I80" s="14"/>
      <c r="L80" s="14"/>
    </row>
    <row r="81" spans="9:12">
      <c r="I81" s="14"/>
      <c r="L81" s="14"/>
    </row>
    <row r="82" spans="9:12">
      <c r="I82" s="14"/>
      <c r="L82" s="14"/>
    </row>
    <row r="83" spans="9:12">
      <c r="I83" s="14"/>
      <c r="L83" s="14"/>
    </row>
    <row r="84" spans="9:12">
      <c r="I84" s="14"/>
      <c r="L84" s="14"/>
    </row>
    <row r="85" spans="9:12">
      <c r="I85" s="14"/>
      <c r="L85" s="14"/>
    </row>
    <row r="86" spans="9:12">
      <c r="I86" s="14"/>
      <c r="L86" s="14"/>
    </row>
    <row r="87" spans="9:12">
      <c r="I87" s="14"/>
      <c r="L87" s="14"/>
    </row>
    <row r="88" spans="9:12">
      <c r="I88" s="14"/>
      <c r="L88" s="14"/>
    </row>
    <row r="89" spans="9:12">
      <c r="I89" s="14"/>
      <c r="L89" s="14"/>
    </row>
    <row r="90" spans="9:12">
      <c r="I90" s="14"/>
      <c r="L90" s="14"/>
    </row>
    <row r="91" spans="9:12">
      <c r="I91" s="14"/>
      <c r="L91" s="14"/>
    </row>
    <row r="92" spans="9:12">
      <c r="I92" s="14"/>
      <c r="L92" s="14"/>
    </row>
    <row r="93" spans="9:12">
      <c r="I93" s="14"/>
      <c r="L93" s="14"/>
    </row>
    <row r="94" spans="9:12">
      <c r="I94" s="14"/>
      <c r="L94" s="14"/>
    </row>
    <row r="95" spans="9:12">
      <c r="I95" s="14"/>
      <c r="L95" s="14"/>
    </row>
    <row r="96" spans="9:12">
      <c r="I96" s="14"/>
      <c r="L96" s="14"/>
    </row>
    <row r="97" spans="9:12">
      <c r="I97" s="14"/>
      <c r="L97" s="14"/>
    </row>
    <row r="98" spans="9:12">
      <c r="I98" s="14"/>
      <c r="L98" s="14"/>
    </row>
    <row r="99" spans="9:12">
      <c r="I99" s="14"/>
      <c r="L99" s="14"/>
    </row>
    <row r="100" spans="9:12">
      <c r="I100" s="14"/>
      <c r="L100" s="14"/>
    </row>
    <row r="101" spans="9:12">
      <c r="I101" s="14"/>
      <c r="L101" s="14"/>
    </row>
    <row r="102" spans="9:12">
      <c r="I102" s="14"/>
      <c r="L102" s="14"/>
    </row>
    <row r="103" spans="9:12">
      <c r="I103" s="14"/>
      <c r="L103" s="14"/>
    </row>
    <row r="104" spans="9:12">
      <c r="I104" s="14"/>
      <c r="L104" s="14"/>
    </row>
    <row r="105" spans="9:12">
      <c r="I105" s="14"/>
      <c r="L105" s="14"/>
    </row>
    <row r="106" spans="9:12">
      <c r="I106" s="14"/>
      <c r="L106" s="14"/>
    </row>
    <row r="107" spans="9:12">
      <c r="I107" s="14"/>
      <c r="L107" s="14"/>
    </row>
    <row r="108" spans="9:12">
      <c r="I108" s="14"/>
      <c r="L108" s="14"/>
    </row>
    <row r="109" spans="9:12">
      <c r="I109" s="14"/>
      <c r="L109" s="14"/>
    </row>
    <row r="110" spans="9:12">
      <c r="I110" s="14"/>
      <c r="L110" s="14"/>
    </row>
    <row r="111" spans="9:12">
      <c r="I111" s="14"/>
      <c r="L111" s="14"/>
    </row>
    <row r="112" spans="9:12">
      <c r="I112" s="14"/>
      <c r="L112" s="14"/>
    </row>
    <row r="113" spans="9:12">
      <c r="I113" s="14"/>
      <c r="L113" s="14"/>
    </row>
    <row r="114" spans="9:12">
      <c r="I114" s="14"/>
      <c r="L114" s="14"/>
    </row>
    <row r="115" spans="9:12">
      <c r="I115" s="14"/>
      <c r="L115" s="14"/>
    </row>
    <row r="116" spans="9:12">
      <c r="I116" s="14"/>
      <c r="L116" s="14"/>
    </row>
    <row r="117" spans="9:12">
      <c r="I117" s="14"/>
      <c r="L117" s="14"/>
    </row>
    <row r="118" spans="9:12">
      <c r="I118" s="14"/>
      <c r="L118" s="14"/>
    </row>
    <row r="119" spans="9:12">
      <c r="I119" s="14"/>
      <c r="L119" s="14"/>
    </row>
    <row r="120" spans="9:12">
      <c r="I120" s="14"/>
      <c r="L120" s="14"/>
    </row>
    <row r="121" spans="9:12">
      <c r="I121" s="14"/>
      <c r="L121" s="14"/>
    </row>
    <row r="122" spans="9:12">
      <c r="I122" s="14"/>
      <c r="L122" s="14"/>
    </row>
    <row r="123" spans="9:12">
      <c r="I123" s="14"/>
      <c r="L123" s="14"/>
    </row>
    <row r="124" spans="9:12">
      <c r="I124" s="14"/>
      <c r="L124" s="14"/>
    </row>
    <row r="125" spans="9:12">
      <c r="I125" s="14"/>
      <c r="L125" s="14"/>
    </row>
    <row r="126" spans="9:12">
      <c r="I126" s="14"/>
      <c r="L126" s="14"/>
    </row>
    <row r="127" spans="9:12">
      <c r="I127" s="14"/>
      <c r="L127" s="14"/>
    </row>
    <row r="128" spans="9:12">
      <c r="I128" s="14"/>
      <c r="L128" s="14"/>
    </row>
    <row r="129" spans="9:12">
      <c r="I129" s="14"/>
      <c r="L129" s="14"/>
    </row>
    <row r="130" spans="9:12">
      <c r="I130" s="14"/>
      <c r="L130" s="14"/>
    </row>
    <row r="131" spans="9:12">
      <c r="I131" s="14"/>
      <c r="L131" s="14"/>
    </row>
    <row r="132" spans="9:12">
      <c r="I132" s="14"/>
      <c r="L132" s="14"/>
    </row>
    <row r="133" spans="9:12">
      <c r="I133" s="14"/>
      <c r="L133" s="14"/>
    </row>
    <row r="134" spans="9:12">
      <c r="I134" s="14"/>
      <c r="L134" s="14"/>
    </row>
    <row r="135" spans="9:12">
      <c r="I135" s="14"/>
      <c r="L135" s="14"/>
    </row>
    <row r="136" spans="9:12">
      <c r="I136" s="14"/>
      <c r="L136" s="14"/>
    </row>
    <row r="137" spans="9:12">
      <c r="I137" s="14"/>
      <c r="L137" s="14"/>
    </row>
    <row r="138" spans="9:12">
      <c r="I138" s="14"/>
      <c r="L138" s="14"/>
    </row>
    <row r="139" spans="9:12">
      <c r="I139" s="14"/>
      <c r="L139" s="14"/>
    </row>
    <row r="140" spans="9:12">
      <c r="I140" s="14"/>
      <c r="L140" s="14"/>
    </row>
    <row r="141" spans="9:12">
      <c r="I141" s="14"/>
      <c r="L141" s="14"/>
    </row>
    <row r="142" spans="9:12">
      <c r="I142" s="14"/>
      <c r="L142" s="14"/>
    </row>
    <row r="143" spans="9:12">
      <c r="I143" s="14"/>
      <c r="L143" s="14"/>
    </row>
    <row r="144" spans="9:12">
      <c r="I144" s="14"/>
      <c r="L144" s="14"/>
    </row>
    <row r="145" spans="9:12">
      <c r="I145" s="14"/>
      <c r="L145" s="14"/>
    </row>
    <row r="146" spans="9:12">
      <c r="I146" s="14"/>
      <c r="L146" s="14"/>
    </row>
    <row r="147" spans="9:12">
      <c r="I147" s="14"/>
      <c r="L147" s="14"/>
    </row>
    <row r="148" spans="9:12">
      <c r="I148" s="14"/>
      <c r="L148" s="14"/>
    </row>
    <row r="149" spans="9:12">
      <c r="I149" s="14"/>
      <c r="L149" s="14"/>
    </row>
    <row r="150" spans="9:12">
      <c r="I150" s="14"/>
      <c r="L150" s="14"/>
    </row>
    <row r="151" spans="9:12">
      <c r="I151" s="14"/>
      <c r="L151" s="14"/>
    </row>
    <row r="152" spans="9:12">
      <c r="I152" s="14"/>
      <c r="L152" s="14"/>
    </row>
    <row r="153" spans="9:12">
      <c r="I153" s="14"/>
      <c r="L153" s="14"/>
    </row>
    <row r="154" spans="9:12">
      <c r="I154" s="14"/>
      <c r="L154" s="14"/>
    </row>
    <row r="155" spans="9:12">
      <c r="I155" s="14"/>
      <c r="L155" s="14"/>
    </row>
    <row r="156" spans="9:12">
      <c r="I156" s="14"/>
      <c r="L156" s="14"/>
    </row>
    <row r="157" spans="9:12">
      <c r="I157" s="14"/>
      <c r="L157" s="14"/>
    </row>
    <row r="158" spans="9:12">
      <c r="I158" s="14"/>
      <c r="L158" s="14"/>
    </row>
    <row r="159" spans="9:12">
      <c r="I159" s="14"/>
      <c r="L159" s="14"/>
    </row>
    <row r="160" spans="9:12">
      <c r="I160" s="14"/>
      <c r="L160" s="14"/>
    </row>
    <row r="161" spans="9:12">
      <c r="I161" s="14"/>
      <c r="L161" s="14"/>
    </row>
    <row r="162" spans="9:12">
      <c r="I162" s="14"/>
      <c r="L162" s="14"/>
    </row>
    <row r="163" spans="9:12">
      <c r="I163" s="14"/>
      <c r="L163" s="14"/>
    </row>
    <row r="164" spans="9:12">
      <c r="I164" s="14"/>
      <c r="L164" s="14"/>
    </row>
    <row r="165" spans="9:12">
      <c r="I165" s="14"/>
      <c r="L165" s="14"/>
    </row>
    <row r="166" spans="9:12">
      <c r="I166" s="14"/>
      <c r="L166" s="14"/>
    </row>
    <row r="167" spans="9:12">
      <c r="I167" s="14"/>
      <c r="L167" s="14"/>
    </row>
    <row r="168" spans="9:12">
      <c r="I168" s="14"/>
      <c r="L168" s="14"/>
    </row>
    <row r="169" spans="9:12">
      <c r="I169" s="14"/>
      <c r="L169" s="14"/>
    </row>
    <row r="170" spans="9:12">
      <c r="I170" s="14"/>
      <c r="L170" s="14"/>
    </row>
    <row r="171" spans="9:12">
      <c r="I171" s="14"/>
      <c r="L171" s="14"/>
    </row>
    <row r="172" spans="9:12">
      <c r="I172" s="14"/>
      <c r="L172" s="14"/>
    </row>
    <row r="173" spans="9:12">
      <c r="I173" s="14"/>
      <c r="L173" s="14"/>
    </row>
    <row r="174" spans="9:12">
      <c r="I174" s="14"/>
      <c r="L174" s="14"/>
    </row>
    <row r="175" spans="9:12">
      <c r="I175" s="14"/>
      <c r="L175" s="14"/>
    </row>
    <row r="176" spans="9:12">
      <c r="I176" s="14"/>
      <c r="L176" s="14"/>
    </row>
    <row r="177" spans="9:12">
      <c r="I177" s="14"/>
      <c r="L177" s="14"/>
    </row>
    <row r="178" spans="9:12">
      <c r="I178" s="14"/>
      <c r="L178" s="14"/>
    </row>
    <row r="179" spans="9:12">
      <c r="I179" s="14"/>
      <c r="L179" s="14"/>
    </row>
    <row r="180" spans="9:12">
      <c r="I180" s="14"/>
      <c r="L180" s="14"/>
    </row>
    <row r="181" spans="9:12">
      <c r="I181" s="14"/>
      <c r="L181" s="14"/>
    </row>
    <row r="182" spans="9:12">
      <c r="I182" s="14"/>
      <c r="L182" s="14"/>
    </row>
    <row r="183" spans="9:12">
      <c r="I183" s="14"/>
      <c r="L183" s="14"/>
    </row>
    <row r="184" spans="9:12">
      <c r="I184" s="14"/>
      <c r="L184" s="14"/>
    </row>
    <row r="185" spans="9:12">
      <c r="I185" s="14"/>
      <c r="L185" s="14"/>
    </row>
    <row r="186" spans="9:12">
      <c r="I186" s="14"/>
      <c r="L186" s="14"/>
    </row>
    <row r="187" spans="9:12">
      <c r="I187" s="14"/>
      <c r="L187" s="14"/>
    </row>
    <row r="188" spans="9:12">
      <c r="I188" s="14"/>
      <c r="L188" s="14"/>
    </row>
    <row r="189" spans="9:12">
      <c r="I189" s="14"/>
      <c r="L189" s="14"/>
    </row>
    <row r="190" spans="9:12">
      <c r="I190" s="14"/>
      <c r="L190" s="14"/>
    </row>
    <row r="191" spans="9:12">
      <c r="I191" s="14"/>
      <c r="L191" s="14"/>
    </row>
    <row r="192" spans="9:12">
      <c r="I192" s="14"/>
      <c r="L192" s="14"/>
    </row>
    <row r="193" spans="9:12">
      <c r="I193" s="14"/>
      <c r="L193" s="14"/>
    </row>
    <row r="194" spans="9:12">
      <c r="I194" s="14"/>
      <c r="L194" s="14"/>
    </row>
    <row r="195" spans="9:12">
      <c r="I195" s="14"/>
      <c r="L195" s="14"/>
    </row>
    <row r="196" spans="9:12">
      <c r="I196" s="14"/>
      <c r="L196" s="14"/>
    </row>
    <row r="197" spans="9:12">
      <c r="I197" s="14"/>
      <c r="L197" s="14"/>
    </row>
    <row r="198" spans="9:12">
      <c r="I198" s="14"/>
      <c r="L198" s="14"/>
    </row>
    <row r="199" spans="9:12">
      <c r="I199" s="14"/>
      <c r="L199" s="14"/>
    </row>
    <row r="200" spans="9:12">
      <c r="I200" s="14"/>
      <c r="L200" s="14"/>
    </row>
    <row r="201" spans="9:12">
      <c r="I201" s="14"/>
      <c r="L201" s="14"/>
    </row>
    <row r="202" spans="9:12">
      <c r="I202" s="14"/>
      <c r="L202" s="14"/>
    </row>
    <row r="203" spans="9:12">
      <c r="I203" s="14"/>
      <c r="L203" s="14"/>
    </row>
    <row r="204" spans="9:12">
      <c r="I204" s="14"/>
      <c r="L204" s="14"/>
    </row>
    <row r="205" spans="9:12">
      <c r="I205" s="14"/>
      <c r="L205" s="14"/>
    </row>
    <row r="206" spans="9:12">
      <c r="I206" s="14"/>
      <c r="L206" s="14"/>
    </row>
    <row r="207" spans="9:12">
      <c r="I207" s="14"/>
      <c r="L207" s="14"/>
    </row>
    <row r="208" spans="9:12">
      <c r="I208" s="14"/>
      <c r="L208" s="14"/>
    </row>
    <row r="209" spans="9:12">
      <c r="I209" s="14"/>
      <c r="L209" s="14"/>
    </row>
    <row r="210" spans="9:12">
      <c r="I210" s="14"/>
      <c r="L210" s="14"/>
    </row>
    <row r="211" spans="9:12">
      <c r="I211" s="14"/>
      <c r="L211" s="14"/>
    </row>
    <row r="212" spans="9:12">
      <c r="I212" s="14"/>
      <c r="L212" s="14"/>
    </row>
    <row r="213" spans="9:12">
      <c r="I213" s="14"/>
      <c r="L213" s="14"/>
    </row>
    <row r="214" spans="9:12">
      <c r="I214" s="14"/>
      <c r="L214" s="14"/>
    </row>
    <row r="215" spans="9:12">
      <c r="I215" s="14"/>
      <c r="L215" s="14"/>
    </row>
    <row r="216" spans="9:12">
      <c r="I216" s="14"/>
      <c r="L216" s="14"/>
    </row>
    <row r="217" spans="9:12">
      <c r="I217" s="14"/>
      <c r="L217" s="14"/>
    </row>
    <row r="218" spans="9:12">
      <c r="I218" s="14"/>
      <c r="L218" s="14"/>
    </row>
    <row r="219" spans="9:12">
      <c r="I219" s="14"/>
      <c r="L219" s="14"/>
    </row>
    <row r="220" spans="9:12">
      <c r="I220" s="14"/>
      <c r="L220" s="14"/>
    </row>
    <row r="221" spans="9:12">
      <c r="I221" s="14"/>
      <c r="L221" s="14"/>
    </row>
    <row r="222" spans="9:12">
      <c r="I222" s="14"/>
      <c r="L222" s="14"/>
    </row>
    <row r="223" spans="9:12">
      <c r="I223" s="14"/>
      <c r="L223" s="14"/>
    </row>
    <row r="224" spans="9:12">
      <c r="I224" s="14"/>
      <c r="L224" s="14"/>
    </row>
    <row r="225" spans="9:12">
      <c r="I225" s="14"/>
      <c r="L225" s="14"/>
    </row>
    <row r="226" spans="9:12">
      <c r="I226" s="14"/>
      <c r="L226" s="14"/>
    </row>
    <row r="227" spans="9:12">
      <c r="I227" s="14"/>
      <c r="L227" s="14"/>
    </row>
    <row r="228" spans="9:12">
      <c r="I228" s="14"/>
      <c r="L228" s="14"/>
    </row>
    <row r="229" spans="9:12">
      <c r="I229" s="14"/>
      <c r="L229" s="14"/>
    </row>
    <row r="230" spans="9:12">
      <c r="I230" s="14"/>
      <c r="L230" s="14"/>
    </row>
    <row r="231" spans="9:12">
      <c r="I231" s="14"/>
      <c r="L231" s="14"/>
    </row>
    <row r="232" spans="9:12">
      <c r="I232" s="14"/>
      <c r="L232" s="14"/>
    </row>
    <row r="233" spans="9:12">
      <c r="I233" s="14"/>
      <c r="L233" s="14"/>
    </row>
    <row r="234" spans="9:12">
      <c r="I234" s="14"/>
      <c r="L234" s="14"/>
    </row>
    <row r="235" spans="9:12">
      <c r="I235" s="14"/>
      <c r="L235" s="14"/>
    </row>
    <row r="236" spans="9:12">
      <c r="I236" s="14"/>
      <c r="L236" s="14"/>
    </row>
    <row r="237" spans="9:12">
      <c r="I237" s="14"/>
      <c r="L237" s="14"/>
    </row>
    <row r="238" spans="9:12">
      <c r="I238" s="14"/>
      <c r="L238" s="14"/>
    </row>
    <row r="239" spans="9:12">
      <c r="I239" s="14"/>
      <c r="L239" s="14"/>
    </row>
    <row r="240" spans="9:12">
      <c r="I240" s="14"/>
      <c r="L240" s="14"/>
    </row>
    <row r="241" spans="9:12">
      <c r="I241" s="14"/>
      <c r="L241" s="14"/>
    </row>
    <row r="242" spans="9:12">
      <c r="I242" s="14"/>
      <c r="L242" s="14"/>
    </row>
    <row r="243" spans="9:12">
      <c r="I243" s="14"/>
      <c r="L243" s="14"/>
    </row>
    <row r="244" spans="9:12">
      <c r="I244" s="14"/>
      <c r="L244" s="14"/>
    </row>
    <row r="245" spans="9:12">
      <c r="I245" s="14"/>
      <c r="L245" s="14"/>
    </row>
    <row r="246" spans="9:12">
      <c r="I246" s="14"/>
      <c r="L246" s="14"/>
    </row>
    <row r="247" spans="9:12">
      <c r="I247" s="14"/>
      <c r="L247" s="14"/>
    </row>
    <row r="248" spans="9:12">
      <c r="I248" s="14"/>
      <c r="L248" s="14"/>
    </row>
    <row r="249" spans="9:12">
      <c r="I249" s="14"/>
      <c r="L249" s="14"/>
    </row>
    <row r="250" spans="9:12">
      <c r="I250" s="14"/>
      <c r="L250" s="14"/>
    </row>
    <row r="251" spans="9:12">
      <c r="I251" s="14"/>
      <c r="L251" s="14"/>
    </row>
    <row r="252" spans="9:12">
      <c r="I252" s="14"/>
      <c r="L252" s="14"/>
    </row>
    <row r="253" spans="9:12">
      <c r="I253" s="14"/>
      <c r="L253" s="14"/>
    </row>
    <row r="254" spans="9:12">
      <c r="I254" s="14"/>
      <c r="L254" s="14"/>
    </row>
    <row r="255" spans="9:12">
      <c r="I255" s="14"/>
      <c r="L255" s="14"/>
    </row>
    <row r="256" spans="9:12">
      <c r="I256" s="14"/>
      <c r="L256" s="14"/>
    </row>
    <row r="257" spans="9:12">
      <c r="I257" s="14"/>
      <c r="L257" s="14"/>
    </row>
    <row r="258" spans="9:12">
      <c r="I258" s="14"/>
      <c r="L258" s="14"/>
    </row>
    <row r="259" spans="9:12">
      <c r="I259" s="14"/>
      <c r="L259" s="14"/>
    </row>
    <row r="260" spans="9:12">
      <c r="I260" s="14"/>
      <c r="L260" s="14"/>
    </row>
    <row r="261" spans="9:12">
      <c r="I261" s="14"/>
      <c r="L261" s="14"/>
    </row>
    <row r="262" spans="9:12">
      <c r="I262" s="14"/>
      <c r="L262" s="14"/>
    </row>
    <row r="263" spans="9:12">
      <c r="I263" s="14"/>
      <c r="L263" s="14"/>
    </row>
    <row r="264" spans="9:12">
      <c r="I264" s="14"/>
      <c r="L264" s="14"/>
    </row>
    <row r="265" spans="9:12">
      <c r="I265" s="14"/>
      <c r="L265" s="14"/>
    </row>
    <row r="266" spans="9:12">
      <c r="I266" s="14"/>
      <c r="L266" s="14"/>
    </row>
    <row r="267" spans="9:12">
      <c r="I267" s="14"/>
      <c r="L267" s="14"/>
    </row>
    <row r="268" spans="9:12">
      <c r="I268" s="14"/>
      <c r="L268" s="14"/>
    </row>
    <row r="269" spans="9:12">
      <c r="I269" s="14"/>
      <c r="L269" s="14"/>
    </row>
    <row r="270" spans="9:12">
      <c r="I270" s="14"/>
      <c r="L270" s="14"/>
    </row>
    <row r="271" spans="9:12">
      <c r="I271" s="14"/>
      <c r="L271" s="14"/>
    </row>
    <row r="272" spans="9:12">
      <c r="I272" s="14"/>
      <c r="L272" s="14"/>
    </row>
    <row r="273" spans="9:12">
      <c r="I273" s="14"/>
      <c r="L273" s="14"/>
    </row>
    <row r="274" spans="9:12">
      <c r="I274" s="14"/>
      <c r="L274" s="14"/>
    </row>
    <row r="275" spans="9:12">
      <c r="I275" s="14"/>
      <c r="L275" s="14"/>
    </row>
    <row r="276" spans="9:12">
      <c r="I276" s="14"/>
      <c r="L276" s="14"/>
    </row>
    <row r="277" spans="9:12">
      <c r="I277" s="14"/>
      <c r="L277" s="14"/>
    </row>
    <row r="278" spans="9:12">
      <c r="I278" s="14"/>
      <c r="L278" s="14"/>
    </row>
    <row r="279" spans="9:12">
      <c r="I279" s="14"/>
      <c r="L279" s="14"/>
    </row>
    <row r="280" spans="9:12">
      <c r="I280" s="14"/>
      <c r="L280" s="14"/>
    </row>
    <row r="281" spans="9:12">
      <c r="I281" s="14"/>
      <c r="L281" s="14"/>
    </row>
    <row r="282" spans="9:12">
      <c r="I282" s="14"/>
      <c r="L282" s="14"/>
    </row>
    <row r="283" spans="9:12">
      <c r="I283" s="14"/>
      <c r="L283" s="14"/>
    </row>
    <row r="284" spans="9:12">
      <c r="I284" s="14"/>
      <c r="L284" s="14"/>
    </row>
    <row r="285" spans="9:12">
      <c r="I285" s="14"/>
      <c r="L285" s="14"/>
    </row>
    <row r="286" spans="9:12">
      <c r="I286" s="14"/>
      <c r="L286" s="14"/>
    </row>
    <row r="287" spans="9:12">
      <c r="I287" s="14"/>
      <c r="L287" s="14"/>
    </row>
    <row r="288" spans="9:12">
      <c r="I288" s="14"/>
      <c r="L288" s="14"/>
    </row>
    <row r="289" spans="9:12">
      <c r="I289" s="14"/>
      <c r="L289" s="14"/>
    </row>
    <row r="290" spans="9:12">
      <c r="I290" s="14"/>
      <c r="L290" s="14"/>
    </row>
    <row r="291" spans="9:12">
      <c r="I291" s="14"/>
      <c r="L291" s="14"/>
    </row>
    <row r="292" spans="9:12">
      <c r="I292" s="14"/>
      <c r="L292" s="14"/>
    </row>
    <row r="293" spans="9:12">
      <c r="I293" s="14"/>
      <c r="L293" s="14"/>
    </row>
    <row r="294" spans="9:12">
      <c r="I294" s="14"/>
      <c r="L294" s="14"/>
    </row>
    <row r="295" spans="9:12">
      <c r="I295" s="14"/>
      <c r="L295" s="14"/>
    </row>
    <row r="296" spans="9:12">
      <c r="I296" s="14"/>
      <c r="L296" s="14"/>
    </row>
    <row r="297" spans="9:12">
      <c r="I297" s="14"/>
      <c r="L297" s="14"/>
    </row>
    <row r="298" spans="9:12">
      <c r="I298" s="14"/>
      <c r="L298" s="14"/>
    </row>
    <row r="299" spans="9:12">
      <c r="I299" s="14"/>
      <c r="L299" s="14"/>
    </row>
    <row r="300" spans="9:12">
      <c r="I300" s="14"/>
      <c r="L300" s="14"/>
    </row>
    <row r="301" spans="9:12">
      <c r="I301" s="14"/>
      <c r="L301" s="14"/>
    </row>
    <row r="302" spans="9:12">
      <c r="I302" s="14"/>
      <c r="L302" s="14"/>
    </row>
    <row r="303" spans="9:12">
      <c r="I303" s="14"/>
      <c r="L303" s="14"/>
    </row>
    <row r="304" spans="9:12">
      <c r="I304" s="14"/>
      <c r="L304" s="14"/>
    </row>
    <row r="305" spans="9:12">
      <c r="I305" s="14"/>
      <c r="L305" s="14"/>
    </row>
    <row r="306" spans="9:12">
      <c r="I306" s="14"/>
      <c r="L306" s="14"/>
    </row>
    <row r="307" spans="9:12">
      <c r="I307" s="14"/>
      <c r="L307" s="14"/>
    </row>
    <row r="308" spans="9:12">
      <c r="I308" s="14"/>
      <c r="L308" s="14"/>
    </row>
    <row r="309" spans="9:12">
      <c r="I309" s="14"/>
      <c r="L309" s="14"/>
    </row>
    <row r="310" spans="9:12">
      <c r="I310" s="14"/>
      <c r="L310" s="14"/>
    </row>
    <row r="311" spans="9:12">
      <c r="I311" s="14"/>
      <c r="L311" s="14"/>
    </row>
    <row r="312" spans="9:12">
      <c r="I312" s="14"/>
      <c r="L312" s="14"/>
    </row>
    <row r="313" spans="9:12">
      <c r="I313" s="14"/>
      <c r="L313" s="14"/>
    </row>
    <row r="314" spans="9:12">
      <c r="I314" s="14"/>
      <c r="L314" s="14"/>
    </row>
    <row r="315" spans="9:12">
      <c r="I315" s="14"/>
      <c r="L315" s="14"/>
    </row>
    <row r="316" spans="9:12">
      <c r="I316" s="14"/>
      <c r="L316" s="14"/>
    </row>
    <row r="317" spans="9:12">
      <c r="I317" s="14"/>
      <c r="L317" s="14"/>
    </row>
    <row r="318" spans="9:12">
      <c r="I318" s="14"/>
      <c r="L318" s="14"/>
    </row>
    <row r="319" spans="9:12">
      <c r="I319" s="14"/>
      <c r="L319" s="14"/>
    </row>
    <row r="320" spans="9:12">
      <c r="I320" s="14"/>
      <c r="L320" s="14"/>
    </row>
    <row r="321" spans="9:12">
      <c r="I321" s="14"/>
      <c r="L321" s="14"/>
    </row>
    <row r="322" spans="9:12">
      <c r="I322" s="14"/>
      <c r="L322" s="14"/>
    </row>
    <row r="323" spans="9:12">
      <c r="I323" s="14"/>
      <c r="L323" s="14"/>
    </row>
    <row r="324" spans="9:12">
      <c r="I324" s="14"/>
      <c r="L324" s="14"/>
    </row>
    <row r="325" spans="9:12">
      <c r="I325" s="14"/>
      <c r="L325" s="14"/>
    </row>
    <row r="326" spans="9:12">
      <c r="I326" s="14"/>
      <c r="L326" s="14"/>
    </row>
    <row r="327" spans="9:12">
      <c r="I327" s="14"/>
      <c r="L327" s="14"/>
    </row>
    <row r="328" spans="9:12">
      <c r="I328" s="14"/>
      <c r="L328" s="14"/>
    </row>
    <row r="329" spans="9:12">
      <c r="I329" s="14"/>
      <c r="L329" s="14"/>
    </row>
    <row r="330" spans="9:12">
      <c r="I330" s="14"/>
      <c r="L330" s="14"/>
    </row>
    <row r="331" spans="9:12">
      <c r="I331" s="14"/>
      <c r="L331" s="14"/>
    </row>
    <row r="332" spans="9:12">
      <c r="I332" s="14"/>
      <c r="L332" s="14"/>
    </row>
    <row r="333" spans="9:12">
      <c r="I333" s="14"/>
      <c r="L333" s="14"/>
    </row>
    <row r="334" spans="9:12">
      <c r="I334" s="14"/>
      <c r="L334" s="14"/>
    </row>
    <row r="335" spans="9:12">
      <c r="I335" s="14"/>
      <c r="L335" s="14"/>
    </row>
    <row r="336" spans="9:12">
      <c r="I336" s="14"/>
      <c r="L336" s="14"/>
    </row>
    <row r="337" spans="9:12">
      <c r="I337" s="14"/>
      <c r="L337" s="14"/>
    </row>
    <row r="338" spans="9:12">
      <c r="I338" s="14"/>
      <c r="L338" s="14"/>
    </row>
    <row r="339" spans="9:12">
      <c r="I339" s="14"/>
      <c r="L339" s="14"/>
    </row>
    <row r="340" spans="9:12">
      <c r="I340" s="14"/>
      <c r="L340" s="14"/>
    </row>
    <row r="341" spans="9:12">
      <c r="I341" s="14"/>
      <c r="L341" s="14"/>
    </row>
    <row r="342" spans="9:12">
      <c r="I342" s="14"/>
      <c r="L342" s="14"/>
    </row>
    <row r="343" spans="9:12">
      <c r="I343" s="14"/>
      <c r="L343" s="14"/>
    </row>
    <row r="344" spans="9:12">
      <c r="I344" s="14"/>
      <c r="L344" s="14"/>
    </row>
    <row r="345" spans="9:12">
      <c r="I345" s="14"/>
      <c r="L345" s="14"/>
    </row>
    <row r="346" spans="9:12">
      <c r="I346" s="14"/>
      <c r="L346" s="14"/>
    </row>
    <row r="347" spans="9:12">
      <c r="I347" s="14"/>
      <c r="L347" s="14"/>
    </row>
    <row r="348" spans="9:12">
      <c r="I348" s="14"/>
      <c r="L348" s="14"/>
    </row>
    <row r="349" spans="9:12">
      <c r="I349" s="14"/>
      <c r="L349" s="14"/>
    </row>
    <row r="350" spans="9:12">
      <c r="I350" s="14"/>
      <c r="L350" s="14"/>
    </row>
    <row r="351" spans="9:12">
      <c r="I351" s="14"/>
      <c r="L351" s="14"/>
    </row>
    <row r="352" spans="9:12">
      <c r="I352" s="14"/>
      <c r="L352" s="14"/>
    </row>
    <row r="353" spans="9:12">
      <c r="I353" s="14"/>
      <c r="L353" s="14"/>
    </row>
    <row r="354" spans="9:12">
      <c r="I354" s="14"/>
      <c r="L354" s="14"/>
    </row>
    <row r="355" spans="9:12">
      <c r="I355" s="14"/>
      <c r="L355" s="14"/>
    </row>
    <row r="356" spans="9:12">
      <c r="I356" s="14"/>
      <c r="L356" s="14"/>
    </row>
    <row r="357" spans="9:12">
      <c r="I357" s="14"/>
      <c r="L357" s="14"/>
    </row>
    <row r="358" spans="9:12">
      <c r="I358" s="14"/>
      <c r="L358" s="14"/>
    </row>
    <row r="359" spans="9:12">
      <c r="I359" s="14"/>
      <c r="L359" s="14"/>
    </row>
    <row r="360" spans="9:12">
      <c r="I360" s="14"/>
      <c r="L360" s="14"/>
    </row>
    <row r="361" spans="9:12">
      <c r="I361" s="14"/>
      <c r="L361" s="14"/>
    </row>
    <row r="362" spans="9:12">
      <c r="I362" s="14"/>
      <c r="L362" s="14"/>
    </row>
    <row r="363" spans="9:12">
      <c r="I363" s="14"/>
      <c r="L363" s="14"/>
    </row>
    <row r="364" spans="9:12">
      <c r="I364" s="14"/>
      <c r="L364" s="14"/>
    </row>
    <row r="365" spans="9:12">
      <c r="I365" s="14"/>
      <c r="L365" s="14"/>
    </row>
    <row r="366" spans="9:12">
      <c r="I366" s="14"/>
      <c r="L366" s="14"/>
    </row>
    <row r="367" spans="9:12">
      <c r="I367" s="14"/>
      <c r="L367" s="14"/>
    </row>
    <row r="368" spans="9:12">
      <c r="I368" s="14"/>
      <c r="L368" s="14"/>
    </row>
    <row r="369" spans="9:12">
      <c r="I369" s="14"/>
      <c r="L369" s="14"/>
    </row>
    <row r="370" spans="9:12">
      <c r="I370" s="14"/>
      <c r="L370" s="14"/>
    </row>
    <row r="371" spans="9:12">
      <c r="I371" s="14"/>
      <c r="L371" s="14"/>
    </row>
    <row r="372" spans="9:12">
      <c r="I372" s="14"/>
      <c r="L372" s="14"/>
    </row>
    <row r="373" spans="9:12">
      <c r="I373" s="14"/>
      <c r="L373" s="14"/>
    </row>
    <row r="374" spans="9:12">
      <c r="I374" s="14"/>
      <c r="L374" s="14"/>
    </row>
    <row r="375" spans="9:12">
      <c r="I375" s="14"/>
      <c r="L375" s="14"/>
    </row>
    <row r="376" spans="9:12">
      <c r="I376" s="14"/>
      <c r="L376" s="14"/>
    </row>
    <row r="377" spans="9:12">
      <c r="I377" s="14"/>
      <c r="L377" s="14"/>
    </row>
    <row r="378" spans="9:12">
      <c r="I378" s="14"/>
      <c r="L378" s="14"/>
    </row>
    <row r="379" spans="9:12">
      <c r="I379" s="14"/>
      <c r="L379" s="14"/>
    </row>
    <row r="380" spans="9:12">
      <c r="I380" s="14"/>
      <c r="L380" s="14"/>
    </row>
    <row r="381" spans="9:12">
      <c r="I381" s="14"/>
      <c r="L381" s="14"/>
    </row>
    <row r="382" spans="9:12">
      <c r="I382" s="14"/>
      <c r="L382" s="14"/>
    </row>
    <row r="383" spans="9:12">
      <c r="I383" s="14"/>
      <c r="L383" s="14"/>
    </row>
    <row r="384" spans="9:12">
      <c r="I384" s="14"/>
      <c r="L384" s="14"/>
    </row>
    <row r="385" spans="9:12">
      <c r="I385" s="14"/>
      <c r="L385" s="14"/>
    </row>
    <row r="386" spans="9:12">
      <c r="I386" s="14"/>
      <c r="L386" s="14"/>
    </row>
    <row r="387" spans="9:12">
      <c r="I387" s="14"/>
      <c r="L387" s="14"/>
    </row>
    <row r="388" spans="9:12">
      <c r="I388" s="14"/>
      <c r="L388" s="14"/>
    </row>
    <row r="389" spans="9:12">
      <c r="I389" s="14"/>
      <c r="L389" s="14"/>
    </row>
    <row r="390" spans="9:12">
      <c r="I390" s="14"/>
      <c r="L390" s="14"/>
    </row>
    <row r="391" spans="9:12">
      <c r="I391" s="14"/>
      <c r="L391" s="14"/>
    </row>
    <row r="392" spans="9:12">
      <c r="I392" s="14"/>
      <c r="L392" s="14"/>
    </row>
    <row r="393" spans="9:12">
      <c r="I393" s="14"/>
      <c r="L393" s="14"/>
    </row>
    <row r="394" spans="9:12">
      <c r="I394" s="14"/>
      <c r="L394" s="14"/>
    </row>
    <row r="395" spans="9:12">
      <c r="I395" s="14"/>
      <c r="L395" s="14"/>
    </row>
    <row r="396" spans="9:12">
      <c r="I396" s="14"/>
      <c r="L396" s="14"/>
    </row>
    <row r="397" spans="9:12">
      <c r="I397" s="14"/>
      <c r="L397" s="14"/>
    </row>
    <row r="398" spans="9:12">
      <c r="I398" s="14"/>
      <c r="L398" s="14"/>
    </row>
    <row r="399" spans="9:12">
      <c r="I399" s="14"/>
      <c r="L399" s="14"/>
    </row>
    <row r="400" spans="9:12">
      <c r="I400" s="14"/>
      <c r="L400" s="14"/>
    </row>
    <row r="401" spans="9:12">
      <c r="I401" s="14"/>
      <c r="L401" s="14"/>
    </row>
    <row r="402" spans="9:12">
      <c r="I402" s="14"/>
      <c r="L402" s="14"/>
    </row>
    <row r="403" spans="9:12">
      <c r="I403" s="14"/>
      <c r="L403" s="14"/>
    </row>
    <row r="404" spans="9:12">
      <c r="I404" s="14"/>
      <c r="L404" s="14"/>
    </row>
    <row r="405" spans="9:12">
      <c r="I405" s="14"/>
      <c r="L405" s="14"/>
    </row>
    <row r="406" spans="9:12">
      <c r="I406" s="14"/>
      <c r="L406" s="14"/>
    </row>
    <row r="407" spans="9:12">
      <c r="I407" s="14"/>
      <c r="L407" s="14"/>
    </row>
    <row r="408" spans="9:12">
      <c r="I408" s="14"/>
      <c r="L408" s="14"/>
    </row>
    <row r="409" spans="9:12">
      <c r="I409" s="14"/>
      <c r="L409" s="14"/>
    </row>
    <row r="410" spans="9:12">
      <c r="I410" s="14"/>
      <c r="L410" s="14"/>
    </row>
    <row r="411" spans="9:12">
      <c r="I411" s="14"/>
      <c r="L411" s="14"/>
    </row>
    <row r="412" spans="9:12">
      <c r="I412" s="14"/>
      <c r="L412" s="14"/>
    </row>
    <row r="413" spans="9:12">
      <c r="I413" s="14"/>
      <c r="L413" s="14"/>
    </row>
    <row r="414" spans="9:12">
      <c r="I414" s="14"/>
      <c r="L414" s="14"/>
    </row>
    <row r="415" spans="9:12">
      <c r="I415" s="14"/>
      <c r="L415" s="14"/>
    </row>
    <row r="416" spans="9:12">
      <c r="I416" s="14"/>
      <c r="L416" s="14"/>
    </row>
    <row r="417" spans="9:12">
      <c r="I417" s="14"/>
      <c r="L417" s="14"/>
    </row>
    <row r="418" spans="9:12">
      <c r="I418" s="14"/>
      <c r="L418" s="14"/>
    </row>
    <row r="419" spans="9:12">
      <c r="I419" s="14"/>
      <c r="L419" s="14"/>
    </row>
    <row r="420" spans="9:12">
      <c r="I420" s="14"/>
      <c r="L420" s="14"/>
    </row>
    <row r="421" spans="9:12">
      <c r="I421" s="14"/>
      <c r="L421" s="14"/>
    </row>
    <row r="422" spans="9:12">
      <c r="I422" s="14"/>
      <c r="L422" s="14"/>
    </row>
    <row r="423" spans="9:12">
      <c r="I423" s="14"/>
      <c r="L423" s="14"/>
    </row>
    <row r="424" spans="9:12">
      <c r="I424" s="14"/>
      <c r="L424" s="14"/>
    </row>
    <row r="425" spans="9:12">
      <c r="I425" s="14"/>
      <c r="L425" s="14"/>
    </row>
    <row r="426" spans="9:12">
      <c r="I426" s="14"/>
      <c r="L426" s="14"/>
    </row>
    <row r="427" spans="9:12">
      <c r="I427" s="14"/>
      <c r="L427" s="14"/>
    </row>
    <row r="428" spans="9:12">
      <c r="I428" s="14"/>
      <c r="L428" s="14"/>
    </row>
    <row r="429" spans="9:12">
      <c r="I429" s="14"/>
      <c r="L429" s="14"/>
    </row>
    <row r="430" spans="9:12">
      <c r="I430" s="14"/>
      <c r="L430" s="14"/>
    </row>
    <row r="431" spans="9:12">
      <c r="I431" s="14"/>
      <c r="L431" s="14"/>
    </row>
    <row r="432" spans="9:12">
      <c r="I432" s="14"/>
      <c r="L432" s="14"/>
    </row>
    <row r="433" spans="9:12">
      <c r="I433" s="14"/>
      <c r="L433" s="14"/>
    </row>
    <row r="434" spans="9:12">
      <c r="I434" s="14"/>
      <c r="L434" s="14"/>
    </row>
    <row r="435" spans="9:12">
      <c r="I435" s="14"/>
      <c r="L435" s="14"/>
    </row>
    <row r="436" spans="9:12">
      <c r="I436" s="14"/>
      <c r="L436" s="14"/>
    </row>
    <row r="437" spans="9:12">
      <c r="I437" s="14"/>
      <c r="L437" s="14"/>
    </row>
    <row r="438" spans="9:12">
      <c r="I438" s="14"/>
      <c r="L438" s="14"/>
    </row>
    <row r="439" spans="9:12">
      <c r="I439" s="14"/>
      <c r="L439" s="14"/>
    </row>
    <row r="440" spans="9:12">
      <c r="I440" s="14"/>
      <c r="L440" s="14"/>
    </row>
    <row r="441" spans="9:12">
      <c r="I441" s="14"/>
      <c r="L441" s="14"/>
    </row>
    <row r="442" spans="9:12">
      <c r="I442" s="14"/>
      <c r="L442" s="14"/>
    </row>
    <row r="443" spans="9:12">
      <c r="I443" s="14"/>
      <c r="L443" s="14"/>
    </row>
    <row r="444" spans="9:12">
      <c r="I444" s="14"/>
      <c r="L444" s="14"/>
    </row>
    <row r="445" spans="9:12">
      <c r="I445" s="14"/>
      <c r="L445" s="14"/>
    </row>
    <row r="446" spans="9:12">
      <c r="I446" s="14"/>
      <c r="L446" s="14"/>
    </row>
    <row r="447" spans="9:12">
      <c r="I447" s="14"/>
      <c r="L447" s="14"/>
    </row>
    <row r="448" spans="9:12">
      <c r="I448" s="14"/>
      <c r="L448" s="14"/>
    </row>
    <row r="449" spans="9:12">
      <c r="I449" s="14"/>
      <c r="L449" s="14"/>
    </row>
    <row r="450" spans="9:12">
      <c r="I450" s="14"/>
      <c r="L450" s="14"/>
    </row>
    <row r="451" spans="9:12">
      <c r="I451" s="14"/>
      <c r="L451" s="14"/>
    </row>
    <row r="452" spans="9:12">
      <c r="I452" s="14"/>
      <c r="L452" s="14"/>
    </row>
    <row r="453" spans="9:12">
      <c r="I453" s="14"/>
      <c r="L453" s="14"/>
    </row>
    <row r="454" spans="9:12">
      <c r="I454" s="14"/>
      <c r="L454" s="14"/>
    </row>
    <row r="455" spans="9:12">
      <c r="I455" s="14"/>
      <c r="L455" s="14"/>
    </row>
    <row r="456" spans="9:12">
      <c r="I456" s="14"/>
      <c r="L456" s="14"/>
    </row>
    <row r="457" spans="9:12">
      <c r="I457" s="14"/>
      <c r="L457" s="14"/>
    </row>
    <row r="458" spans="9:12">
      <c r="I458" s="14"/>
      <c r="L458" s="14"/>
    </row>
    <row r="459" spans="9:12">
      <c r="I459" s="14"/>
      <c r="L459" s="14"/>
    </row>
    <row r="460" spans="9:12">
      <c r="I460" s="14"/>
      <c r="L460" s="14"/>
    </row>
    <row r="461" spans="9:12">
      <c r="I461" s="14"/>
      <c r="L461" s="14"/>
    </row>
    <row r="462" spans="9:12">
      <c r="I462" s="14"/>
      <c r="L462" s="14"/>
    </row>
    <row r="463" spans="9:12">
      <c r="I463" s="14"/>
      <c r="L463" s="14"/>
    </row>
    <row r="464" spans="9:12">
      <c r="I464" s="14"/>
      <c r="L464" s="14"/>
    </row>
    <row r="465" spans="9:12">
      <c r="I465" s="14"/>
      <c r="L465" s="14"/>
    </row>
    <row r="466" spans="9:12">
      <c r="I466" s="14"/>
      <c r="L466" s="14"/>
    </row>
    <row r="467" spans="9:12">
      <c r="I467" s="14"/>
      <c r="L467" s="14"/>
    </row>
    <row r="468" spans="9:12">
      <c r="I468" s="14"/>
      <c r="L468" s="14"/>
    </row>
    <row r="469" spans="9:12">
      <c r="I469" s="14"/>
      <c r="L469" s="14"/>
    </row>
    <row r="470" spans="9:12">
      <c r="I470" s="14"/>
      <c r="L470" s="14"/>
    </row>
    <row r="471" spans="9:12">
      <c r="I471" s="14"/>
      <c r="L471" s="14"/>
    </row>
    <row r="472" spans="9:12">
      <c r="I472" s="14"/>
      <c r="L472" s="14"/>
    </row>
    <row r="473" spans="9:12">
      <c r="I473" s="14"/>
      <c r="L473" s="14"/>
    </row>
    <row r="474" spans="9:12">
      <c r="I474" s="14"/>
      <c r="L474" s="14"/>
    </row>
    <row r="475" spans="9:12">
      <c r="I475" s="14"/>
      <c r="L475" s="14"/>
    </row>
    <row r="476" spans="9:12">
      <c r="I476" s="14"/>
      <c r="L476" s="14"/>
    </row>
    <row r="477" spans="9:12">
      <c r="I477" s="14"/>
      <c r="L477" s="14"/>
    </row>
    <row r="478" spans="9:12">
      <c r="I478" s="14"/>
      <c r="L478" s="14"/>
    </row>
    <row r="479" spans="9:12">
      <c r="I479" s="14"/>
      <c r="L479" s="14"/>
    </row>
    <row r="480" spans="9:12">
      <c r="I480" s="14"/>
      <c r="L480" s="14"/>
    </row>
    <row r="481" spans="9:12">
      <c r="I481" s="14"/>
      <c r="L481" s="14"/>
    </row>
    <row r="482" spans="9:12">
      <c r="I482" s="14"/>
      <c r="L482" s="14"/>
    </row>
    <row r="483" spans="9:12">
      <c r="I483" s="14"/>
      <c r="L483" s="14"/>
    </row>
    <row r="484" spans="9:12">
      <c r="I484" s="14"/>
      <c r="L484" s="14"/>
    </row>
    <row r="485" spans="9:12">
      <c r="I485" s="14"/>
      <c r="L485" s="14"/>
    </row>
    <row r="486" spans="9:12">
      <c r="I486" s="14"/>
      <c r="L486" s="14"/>
    </row>
    <row r="487" spans="9:12">
      <c r="I487" s="14"/>
      <c r="L487" s="14"/>
    </row>
    <row r="488" spans="9:12">
      <c r="I488" s="14"/>
      <c r="L488" s="14"/>
    </row>
    <row r="489" spans="9:12">
      <c r="I489" s="14"/>
      <c r="L489" s="14"/>
    </row>
    <row r="490" spans="9:12">
      <c r="I490" s="14"/>
      <c r="L490" s="14"/>
    </row>
    <row r="491" spans="9:12">
      <c r="I491" s="14"/>
      <c r="L491" s="14"/>
    </row>
    <row r="492" spans="9:12">
      <c r="I492" s="14"/>
      <c r="L492" s="14"/>
    </row>
    <row r="493" spans="9:12">
      <c r="I493" s="14"/>
      <c r="L493" s="14"/>
    </row>
    <row r="494" spans="9:12">
      <c r="I494" s="14"/>
      <c r="L494" s="14"/>
    </row>
    <row r="495" spans="9:12">
      <c r="I495" s="14"/>
      <c r="L495" s="14"/>
    </row>
    <row r="496" spans="9:12">
      <c r="I496" s="14"/>
      <c r="L496" s="14"/>
    </row>
    <row r="497" spans="9:12">
      <c r="I497" s="14"/>
      <c r="L497" s="14"/>
    </row>
    <row r="498" spans="9:12">
      <c r="I498" s="14"/>
      <c r="L498" s="14"/>
    </row>
    <row r="499" spans="9:12">
      <c r="I499" s="14"/>
      <c r="L499" s="14"/>
    </row>
    <row r="500" spans="9:12">
      <c r="I500" s="14"/>
      <c r="L500" s="14"/>
    </row>
    <row r="501" spans="9:12">
      <c r="I501" s="14"/>
      <c r="L501" s="14"/>
    </row>
    <row r="502" spans="9:12">
      <c r="I502" s="14"/>
      <c r="L502" s="14"/>
    </row>
    <row r="503" spans="9:12">
      <c r="I503" s="14"/>
      <c r="L503" s="14"/>
    </row>
    <row r="504" spans="9:12">
      <c r="I504" s="14"/>
      <c r="L504" s="14"/>
    </row>
    <row r="505" spans="9:12">
      <c r="I505" s="14"/>
      <c r="L505" s="14"/>
    </row>
    <row r="506" spans="9:12">
      <c r="I506" s="14"/>
      <c r="L506" s="14"/>
    </row>
    <row r="507" spans="9:12">
      <c r="I507" s="14"/>
      <c r="L507" s="14"/>
    </row>
    <row r="508" spans="9:12">
      <c r="I508" s="14"/>
      <c r="L508" s="14"/>
    </row>
    <row r="509" spans="9:12">
      <c r="I509" s="14"/>
      <c r="L509" s="14"/>
    </row>
    <row r="510" spans="9:12">
      <c r="I510" s="14"/>
      <c r="L510" s="14"/>
    </row>
    <row r="511" spans="9:12">
      <c r="I511" s="14"/>
      <c r="L511" s="14"/>
    </row>
    <row r="512" spans="9:12">
      <c r="I512" s="14"/>
      <c r="L512" s="14"/>
    </row>
    <row r="513" spans="9:12">
      <c r="I513" s="14"/>
      <c r="L513" s="14"/>
    </row>
    <row r="514" spans="9:12">
      <c r="I514" s="14"/>
      <c r="L514" s="14"/>
    </row>
    <row r="515" spans="9:12">
      <c r="I515" s="14"/>
      <c r="L515" s="14"/>
    </row>
    <row r="516" spans="9:12">
      <c r="I516" s="14"/>
      <c r="L516" s="14"/>
    </row>
    <row r="517" spans="9:12">
      <c r="I517" s="14"/>
      <c r="L517" s="14"/>
    </row>
    <row r="518" spans="9:12">
      <c r="I518" s="14"/>
      <c r="L518" s="14"/>
    </row>
    <row r="519" spans="9:12">
      <c r="I519" s="14"/>
      <c r="L519" s="14"/>
    </row>
    <row r="520" spans="9:12">
      <c r="I520" s="14"/>
      <c r="L520" s="14"/>
    </row>
    <row r="521" spans="9:12">
      <c r="I521" s="14"/>
      <c r="L521" s="14"/>
    </row>
    <row r="522" spans="9:12">
      <c r="I522" s="14"/>
      <c r="L522" s="14"/>
    </row>
    <row r="523" spans="9:12">
      <c r="I523" s="14"/>
      <c r="L523" s="14"/>
    </row>
    <row r="524" spans="9:12">
      <c r="I524" s="14"/>
      <c r="L524" s="14"/>
    </row>
    <row r="525" spans="9:12">
      <c r="I525" s="14"/>
      <c r="L525" s="14"/>
    </row>
    <row r="526" spans="9:12">
      <c r="I526" s="14"/>
      <c r="L526" s="14"/>
    </row>
    <row r="527" spans="9:12">
      <c r="I527" s="14"/>
      <c r="L527" s="14"/>
    </row>
    <row r="528" spans="9:12">
      <c r="I528" s="14"/>
      <c r="L528" s="14"/>
    </row>
    <row r="529" spans="9:12">
      <c r="I529" s="14"/>
      <c r="L529" s="14"/>
    </row>
    <row r="530" spans="9:12">
      <c r="I530" s="14"/>
      <c r="L530" s="14"/>
    </row>
    <row r="531" spans="9:12">
      <c r="I531" s="14"/>
      <c r="L531" s="14"/>
    </row>
    <row r="532" spans="9:12">
      <c r="I532" s="14"/>
      <c r="L532" s="14"/>
    </row>
    <row r="533" spans="9:12">
      <c r="I533" s="14"/>
      <c r="L533" s="14"/>
    </row>
    <row r="534" spans="9:12">
      <c r="I534" s="14"/>
      <c r="L534" s="14"/>
    </row>
    <row r="535" spans="9:12">
      <c r="I535" s="14"/>
      <c r="L535" s="14"/>
    </row>
    <row r="536" spans="9:12">
      <c r="I536" s="14"/>
      <c r="L536" s="14"/>
    </row>
    <row r="537" spans="9:12">
      <c r="I537" s="14"/>
      <c r="L537" s="14"/>
    </row>
    <row r="538" spans="9:12">
      <c r="I538" s="14"/>
      <c r="L538" s="14"/>
    </row>
    <row r="539" spans="9:12">
      <c r="I539" s="14"/>
      <c r="L539" s="14"/>
    </row>
    <row r="540" spans="9:12">
      <c r="I540" s="14"/>
      <c r="L540" s="14"/>
    </row>
    <row r="541" spans="9:12">
      <c r="I541" s="14"/>
      <c r="L541" s="14"/>
    </row>
    <row r="542" spans="9:12">
      <c r="I542" s="14"/>
      <c r="L542" s="14"/>
    </row>
    <row r="543" spans="9:12">
      <c r="I543" s="14"/>
      <c r="L543" s="14"/>
    </row>
    <row r="544" spans="9:12">
      <c r="I544" s="14"/>
      <c r="L544" s="14"/>
    </row>
    <row r="545" spans="9:12">
      <c r="I545" s="14"/>
      <c r="L545" s="14"/>
    </row>
    <row r="546" spans="9:12">
      <c r="I546" s="14"/>
      <c r="L546" s="14"/>
    </row>
    <row r="547" spans="9:12">
      <c r="I547" s="14"/>
      <c r="L547" s="14"/>
    </row>
    <row r="548" spans="9:12">
      <c r="I548" s="14"/>
      <c r="L548" s="14"/>
    </row>
    <row r="549" spans="9:12">
      <c r="I549" s="14"/>
      <c r="L549" s="14"/>
    </row>
    <row r="550" spans="9:12">
      <c r="I550" s="14"/>
      <c r="L550" s="14"/>
    </row>
    <row r="551" spans="9:12">
      <c r="I551" s="14"/>
      <c r="L551" s="14"/>
    </row>
    <row r="552" spans="9:12">
      <c r="I552" s="14"/>
      <c r="L552" s="14"/>
    </row>
    <row r="553" spans="9:12">
      <c r="I553" s="14"/>
      <c r="L553" s="14"/>
    </row>
    <row r="554" spans="9:12">
      <c r="I554" s="14"/>
      <c r="L554" s="14"/>
    </row>
    <row r="555" spans="9:12">
      <c r="I555" s="14"/>
      <c r="L555" s="14"/>
    </row>
    <row r="556" spans="9:12">
      <c r="I556" s="14"/>
      <c r="L556" s="14"/>
    </row>
    <row r="557" spans="9:12">
      <c r="I557" s="14"/>
      <c r="L557" s="14"/>
    </row>
    <row r="558" spans="9:12">
      <c r="I558" s="14"/>
      <c r="L558" s="14"/>
    </row>
    <row r="559" spans="9:12">
      <c r="I559" s="14"/>
      <c r="L559" s="14"/>
    </row>
    <row r="560" spans="9:12">
      <c r="I560" s="14"/>
      <c r="L560" s="14"/>
    </row>
    <row r="561" spans="9:12">
      <c r="I561" s="14"/>
      <c r="L561" s="14"/>
    </row>
    <row r="562" spans="9:12">
      <c r="I562" s="14"/>
      <c r="L562" s="14"/>
    </row>
    <row r="563" spans="9:12">
      <c r="I563" s="14"/>
      <c r="L563" s="14"/>
    </row>
    <row r="564" spans="9:12">
      <c r="I564" s="14"/>
      <c r="L564" s="14"/>
    </row>
    <row r="565" spans="9:12">
      <c r="I565" s="14"/>
      <c r="L565" s="14"/>
    </row>
    <row r="566" spans="9:12">
      <c r="I566" s="14"/>
      <c r="L566" s="14"/>
    </row>
    <row r="567" spans="9:12">
      <c r="I567" s="14"/>
      <c r="L567" s="14"/>
    </row>
    <row r="568" spans="9:12">
      <c r="I568" s="14"/>
      <c r="L568" s="14"/>
    </row>
    <row r="569" spans="9:12">
      <c r="I569" s="14"/>
      <c r="L569" s="14"/>
    </row>
    <row r="570" spans="9:12">
      <c r="I570" s="14"/>
      <c r="L570" s="14"/>
    </row>
    <row r="571" spans="9:12">
      <c r="I571" s="14"/>
      <c r="L571" s="14"/>
    </row>
    <row r="572" spans="9:12">
      <c r="I572" s="14"/>
      <c r="L572" s="14"/>
    </row>
    <row r="573" spans="9:12">
      <c r="I573" s="14"/>
      <c r="L573" s="14"/>
    </row>
    <row r="574" spans="9:12">
      <c r="I574" s="14"/>
      <c r="L574" s="14"/>
    </row>
    <row r="575" spans="9:12">
      <c r="I575" s="14"/>
      <c r="L575" s="14"/>
    </row>
    <row r="576" spans="9:12">
      <c r="I576" s="14"/>
      <c r="L576" s="14"/>
    </row>
    <row r="577" spans="9:12">
      <c r="I577" s="14"/>
      <c r="L577" s="14"/>
    </row>
    <row r="578" spans="9:12">
      <c r="I578" s="14"/>
      <c r="L578" s="14"/>
    </row>
    <row r="579" spans="9:12">
      <c r="I579" s="14"/>
      <c r="L579" s="14"/>
    </row>
    <row r="580" spans="9:12">
      <c r="I580" s="14"/>
      <c r="L580" s="14"/>
    </row>
    <row r="581" spans="9:12">
      <c r="I581" s="14"/>
      <c r="L581" s="14"/>
    </row>
    <row r="582" spans="9:12">
      <c r="I582" s="14"/>
      <c r="L582" s="14"/>
    </row>
    <row r="583" spans="9:12">
      <c r="I583" s="14"/>
      <c r="L583" s="14"/>
    </row>
    <row r="584" spans="9:12">
      <c r="I584" s="14"/>
      <c r="L584" s="14"/>
    </row>
    <row r="585" spans="9:12">
      <c r="I585" s="14"/>
      <c r="L585" s="14"/>
    </row>
    <row r="586" spans="9:12">
      <c r="I586" s="14"/>
      <c r="L586" s="14"/>
    </row>
    <row r="587" spans="9:12">
      <c r="I587" s="14"/>
      <c r="L587" s="14"/>
    </row>
    <row r="588" spans="9:12">
      <c r="I588" s="14"/>
      <c r="L588" s="14"/>
    </row>
    <row r="589" spans="9:12">
      <c r="I589" s="14"/>
      <c r="L589" s="14"/>
    </row>
    <row r="590" spans="9:12">
      <c r="I590" s="14"/>
      <c r="L590" s="14"/>
    </row>
    <row r="591" spans="9:12">
      <c r="I591" s="14"/>
      <c r="L591" s="14"/>
    </row>
    <row r="592" spans="9:12">
      <c r="I592" s="14"/>
      <c r="L592" s="14"/>
    </row>
    <row r="593" spans="9:12">
      <c r="I593" s="14"/>
      <c r="L593" s="14"/>
    </row>
    <row r="594" spans="9:12">
      <c r="I594" s="14"/>
      <c r="L594" s="14"/>
    </row>
    <row r="595" spans="9:12">
      <c r="I595" s="14"/>
      <c r="L595" s="14"/>
    </row>
    <row r="596" spans="9:12">
      <c r="I596" s="14"/>
      <c r="L596" s="14"/>
    </row>
    <row r="597" spans="9:12">
      <c r="I597" s="14"/>
      <c r="L597" s="14"/>
    </row>
    <row r="598" spans="9:12">
      <c r="I598" s="14"/>
      <c r="L598" s="14"/>
    </row>
    <row r="599" spans="9:12">
      <c r="I599" s="14"/>
      <c r="L599" s="14"/>
    </row>
    <row r="600" spans="9:12">
      <c r="I600" s="14"/>
      <c r="L600" s="14"/>
    </row>
    <row r="601" spans="9:12">
      <c r="I601" s="14"/>
      <c r="L601" s="14"/>
    </row>
    <row r="602" spans="9:12">
      <c r="I602" s="14"/>
      <c r="L602" s="14"/>
    </row>
    <row r="603" spans="9:12">
      <c r="I603" s="14"/>
      <c r="L603" s="14"/>
    </row>
    <row r="604" spans="9:12">
      <c r="I604" s="14"/>
      <c r="L604" s="14"/>
    </row>
    <row r="605" spans="9:12">
      <c r="I605" s="14"/>
      <c r="L605" s="14"/>
    </row>
    <row r="606" spans="9:12">
      <c r="I606" s="14"/>
      <c r="L606" s="14"/>
    </row>
    <row r="607" spans="9:12">
      <c r="I607" s="14"/>
      <c r="L607" s="14"/>
    </row>
    <row r="608" spans="9:12">
      <c r="I608" s="14"/>
      <c r="L608" s="14"/>
    </row>
    <row r="609" spans="9:12">
      <c r="I609" s="14"/>
      <c r="L609" s="14"/>
    </row>
    <row r="610" spans="9:12">
      <c r="I610" s="14"/>
      <c r="L610" s="14"/>
    </row>
    <row r="611" spans="9:12">
      <c r="I611" s="14"/>
      <c r="L611" s="14"/>
    </row>
    <row r="612" spans="9:12">
      <c r="I612" s="14"/>
      <c r="L612" s="14"/>
    </row>
    <row r="613" spans="9:12">
      <c r="I613" s="14"/>
      <c r="L613" s="14"/>
    </row>
    <row r="614" spans="9:12">
      <c r="I614" s="14"/>
      <c r="L614" s="14"/>
    </row>
    <row r="615" spans="9:12">
      <c r="I615" s="14"/>
      <c r="L615" s="14"/>
    </row>
    <row r="616" spans="9:12">
      <c r="I616" s="14"/>
      <c r="L616" s="14"/>
    </row>
    <row r="617" spans="9:12">
      <c r="I617" s="14"/>
      <c r="L617" s="14"/>
    </row>
    <row r="618" spans="9:12">
      <c r="I618" s="14"/>
      <c r="L618" s="14"/>
    </row>
    <row r="619" spans="9:12">
      <c r="I619" s="14"/>
      <c r="L619" s="14"/>
    </row>
    <row r="620" spans="9:12">
      <c r="I620" s="14"/>
      <c r="L620" s="14"/>
    </row>
    <row r="621" spans="9:12">
      <c r="I621" s="14"/>
      <c r="L621" s="14"/>
    </row>
    <row r="622" spans="9:12">
      <c r="I622" s="14"/>
      <c r="L622" s="14"/>
    </row>
    <row r="623" spans="9:12">
      <c r="I623" s="14"/>
      <c r="L623" s="14"/>
    </row>
    <row r="624" spans="9:12">
      <c r="I624" s="14"/>
      <c r="L624" s="14"/>
    </row>
    <row r="625" spans="9:12">
      <c r="I625" s="14"/>
      <c r="L625" s="14"/>
    </row>
    <row r="626" spans="9:12">
      <c r="I626" s="14"/>
      <c r="L626" s="14"/>
    </row>
    <row r="627" spans="9:12">
      <c r="I627" s="14"/>
      <c r="L627" s="14"/>
    </row>
    <row r="628" spans="9:12">
      <c r="I628" s="14"/>
      <c r="L628" s="14"/>
    </row>
    <row r="629" spans="9:12">
      <c r="I629" s="14"/>
      <c r="L629" s="14"/>
    </row>
    <row r="630" spans="9:12">
      <c r="I630" s="14"/>
      <c r="L630" s="14"/>
    </row>
    <row r="631" spans="9:12">
      <c r="I631" s="14"/>
      <c r="L631" s="14"/>
    </row>
    <row r="632" spans="9:12">
      <c r="I632" s="14"/>
      <c r="L632" s="14"/>
    </row>
    <row r="633" spans="9:12">
      <c r="I633" s="14"/>
      <c r="L633" s="14"/>
    </row>
    <row r="634" spans="9:12">
      <c r="I634" s="14"/>
      <c r="L634" s="14"/>
    </row>
    <row r="635" spans="9:12">
      <c r="I635" s="14"/>
      <c r="L635" s="14"/>
    </row>
    <row r="636" spans="9:12">
      <c r="I636" s="14"/>
      <c r="L636" s="14"/>
    </row>
    <row r="637" spans="9:12">
      <c r="I637" s="14"/>
      <c r="L637" s="14"/>
    </row>
    <row r="638" spans="9:12">
      <c r="I638" s="14"/>
      <c r="L638" s="14"/>
    </row>
    <row r="639" spans="9:12">
      <c r="I639" s="14"/>
      <c r="L639" s="14"/>
    </row>
    <row r="640" spans="9:12">
      <c r="I640" s="14"/>
      <c r="L640" s="14"/>
    </row>
    <row r="641" spans="9:12">
      <c r="I641" s="14"/>
      <c r="L641" s="14"/>
    </row>
    <row r="642" spans="9:12">
      <c r="I642" s="14"/>
      <c r="L642" s="14"/>
    </row>
    <row r="643" spans="9:12">
      <c r="I643" s="14"/>
      <c r="L643" s="14"/>
    </row>
    <row r="644" spans="9:12">
      <c r="I644" s="14"/>
      <c r="L644" s="14"/>
    </row>
    <row r="645" spans="9:12">
      <c r="I645" s="14"/>
      <c r="L645" s="14"/>
    </row>
    <row r="646" spans="9:12">
      <c r="I646" s="14"/>
      <c r="L646" s="14"/>
    </row>
    <row r="647" spans="9:12">
      <c r="I647" s="14"/>
      <c r="L647" s="14"/>
    </row>
    <row r="648" spans="9:12">
      <c r="I648" s="14"/>
      <c r="L648" s="14"/>
    </row>
    <row r="649" spans="9:12">
      <c r="I649" s="14"/>
      <c r="L649" s="14"/>
    </row>
    <row r="650" spans="9:12">
      <c r="I650" s="14"/>
      <c r="L650" s="14"/>
    </row>
    <row r="651" spans="9:12">
      <c r="I651" s="14"/>
      <c r="L651" s="14"/>
    </row>
    <row r="652" spans="9:12">
      <c r="I652" s="14"/>
      <c r="L652" s="14"/>
    </row>
    <row r="653" spans="9:12">
      <c r="I653" s="14"/>
      <c r="L653" s="14"/>
    </row>
    <row r="654" spans="9:12">
      <c r="I654" s="14"/>
      <c r="L654" s="14"/>
    </row>
    <row r="655" spans="9:12">
      <c r="I655" s="14"/>
      <c r="L655" s="14"/>
    </row>
    <row r="656" spans="9:12">
      <c r="I656" s="14"/>
      <c r="L656" s="14"/>
    </row>
    <row r="657" spans="9:12">
      <c r="I657" s="14"/>
      <c r="L657" s="14"/>
    </row>
    <row r="658" spans="9:12">
      <c r="I658" s="14"/>
      <c r="L658" s="14"/>
    </row>
    <row r="659" spans="9:12">
      <c r="I659" s="14"/>
      <c r="L659" s="14"/>
    </row>
    <row r="660" spans="9:12">
      <c r="I660" s="14"/>
      <c r="L660" s="14"/>
    </row>
    <row r="661" spans="9:12">
      <c r="I661" s="14"/>
      <c r="L661" s="14"/>
    </row>
    <row r="662" spans="9:12">
      <c r="I662" s="14"/>
      <c r="L662" s="14"/>
    </row>
    <row r="663" spans="9:12">
      <c r="I663" s="14"/>
      <c r="L663" s="14"/>
    </row>
    <row r="664" spans="9:12">
      <c r="I664" s="14"/>
      <c r="L664" s="14"/>
    </row>
    <row r="665" spans="9:12">
      <c r="I665" s="14"/>
      <c r="L665" s="14"/>
    </row>
    <row r="666" spans="9:12">
      <c r="I666" s="14"/>
      <c r="L666" s="14"/>
    </row>
    <row r="667" spans="9:12">
      <c r="I667" s="14"/>
      <c r="L667" s="14"/>
    </row>
    <row r="668" spans="9:12">
      <c r="I668" s="14"/>
      <c r="L668" s="14"/>
    </row>
    <row r="669" spans="9:12">
      <c r="I669" s="14"/>
      <c r="L669" s="14"/>
    </row>
    <row r="670" spans="9:12">
      <c r="I670" s="14"/>
      <c r="L670" s="14"/>
    </row>
    <row r="671" spans="9:12">
      <c r="I671" s="14"/>
      <c r="L671" s="14"/>
    </row>
    <row r="672" spans="9:12">
      <c r="I672" s="14"/>
      <c r="L672" s="14"/>
    </row>
    <row r="673" spans="9:12">
      <c r="I673" s="14"/>
      <c r="L673" s="14"/>
    </row>
    <row r="674" spans="9:12">
      <c r="I674" s="14"/>
      <c r="L674" s="14"/>
    </row>
    <row r="675" spans="9:12">
      <c r="I675" s="14"/>
      <c r="L675" s="14"/>
    </row>
    <row r="676" spans="9:12">
      <c r="I676" s="14"/>
      <c r="L676" s="14"/>
    </row>
    <row r="677" spans="9:12">
      <c r="I677" s="14"/>
      <c r="L677" s="14"/>
    </row>
    <row r="678" spans="9:12">
      <c r="I678" s="14"/>
      <c r="L678" s="14"/>
    </row>
    <row r="679" spans="9:12">
      <c r="I679" s="14"/>
      <c r="L679" s="14"/>
    </row>
    <row r="680" spans="9:12">
      <c r="I680" s="14"/>
      <c r="L680" s="14"/>
    </row>
    <row r="681" spans="9:12">
      <c r="I681" s="14"/>
      <c r="L681" s="14"/>
    </row>
    <row r="682" spans="9:12">
      <c r="I682" s="14"/>
      <c r="L682" s="14"/>
    </row>
    <row r="683" spans="9:12">
      <c r="I683" s="14"/>
      <c r="L683" s="14"/>
    </row>
    <row r="684" spans="9:12">
      <c r="I684" s="14"/>
      <c r="L684" s="14"/>
    </row>
    <row r="685" spans="9:12">
      <c r="I685" s="14"/>
      <c r="L685" s="14"/>
    </row>
    <row r="686" spans="9:12">
      <c r="I686" s="14"/>
      <c r="L686" s="14"/>
    </row>
    <row r="687" spans="9:12">
      <c r="I687" s="14"/>
      <c r="L687" s="14"/>
    </row>
    <row r="688" spans="9:12">
      <c r="I688" s="14"/>
      <c r="L688" s="14"/>
    </row>
    <row r="689" spans="9:12">
      <c r="I689" s="14"/>
      <c r="L689" s="14"/>
    </row>
    <row r="690" spans="9:12">
      <c r="I690" s="14"/>
      <c r="L690" s="14"/>
    </row>
    <row r="691" spans="9:12">
      <c r="I691" s="14"/>
      <c r="L691" s="14"/>
    </row>
    <row r="692" spans="9:12">
      <c r="I692" s="14"/>
      <c r="L692" s="14"/>
    </row>
    <row r="693" spans="9:12">
      <c r="I693" s="14"/>
      <c r="L693" s="14"/>
    </row>
    <row r="694" spans="9:12">
      <c r="I694" s="14"/>
      <c r="L694" s="14"/>
    </row>
    <row r="695" spans="9:12">
      <c r="I695" s="14"/>
      <c r="L695" s="14"/>
    </row>
    <row r="696" spans="9:12">
      <c r="I696" s="14"/>
      <c r="L696" s="14"/>
    </row>
    <row r="697" spans="9:12">
      <c r="I697" s="14"/>
      <c r="L697" s="14"/>
    </row>
    <row r="698" spans="9:12">
      <c r="I698" s="14"/>
      <c r="L698" s="14"/>
    </row>
    <row r="699" spans="9:12">
      <c r="I699" s="14"/>
      <c r="L699" s="14"/>
    </row>
    <row r="700" spans="9:12">
      <c r="I700" s="14"/>
      <c r="L700" s="14"/>
    </row>
    <row r="701" spans="9:12">
      <c r="I701" s="14"/>
      <c r="L701" s="14"/>
    </row>
    <row r="702" spans="9:12">
      <c r="I702" s="14"/>
      <c r="L702" s="14"/>
    </row>
    <row r="703" spans="9:12">
      <c r="I703" s="14"/>
      <c r="L703" s="14"/>
    </row>
    <row r="704" spans="9:12">
      <c r="I704" s="14"/>
      <c r="L704" s="14"/>
    </row>
    <row r="705" spans="9:12">
      <c r="I705" s="14"/>
      <c r="L705" s="14"/>
    </row>
    <row r="706" spans="9:12">
      <c r="I706" s="14"/>
      <c r="L706" s="14"/>
    </row>
    <row r="707" spans="9:12">
      <c r="I707" s="14"/>
      <c r="L707" s="14"/>
    </row>
    <row r="708" spans="9:12">
      <c r="I708" s="14"/>
      <c r="L708" s="14"/>
    </row>
    <row r="709" spans="9:12">
      <c r="I709" s="14"/>
      <c r="L709" s="14"/>
    </row>
    <row r="710" spans="9:12">
      <c r="I710" s="14"/>
      <c r="L710" s="14"/>
    </row>
    <row r="711" spans="9:12">
      <c r="I711" s="14"/>
      <c r="L711" s="14"/>
    </row>
    <row r="712" spans="9:12">
      <c r="I712" s="14"/>
      <c r="L712" s="14"/>
    </row>
    <row r="713" spans="9:12">
      <c r="I713" s="14"/>
      <c r="L713" s="14"/>
    </row>
    <row r="714" spans="9:12">
      <c r="I714" s="14"/>
      <c r="L714" s="14"/>
    </row>
    <row r="715" spans="9:12">
      <c r="I715" s="14"/>
      <c r="L715" s="14"/>
    </row>
    <row r="716" spans="9:12">
      <c r="I716" s="14"/>
      <c r="L716" s="14"/>
    </row>
    <row r="717" spans="9:12">
      <c r="I717" s="14"/>
      <c r="L717" s="14"/>
    </row>
    <row r="718" spans="9:12">
      <c r="I718" s="14"/>
      <c r="L718" s="14"/>
    </row>
    <row r="719" spans="9:12">
      <c r="I719" s="14"/>
      <c r="L719" s="14"/>
    </row>
    <row r="720" spans="9:12">
      <c r="I720" s="14"/>
      <c r="L720" s="14"/>
    </row>
    <row r="721" spans="9:12">
      <c r="I721" s="14"/>
      <c r="L721" s="14"/>
    </row>
    <row r="722" spans="9:12">
      <c r="I722" s="14"/>
      <c r="L722" s="14"/>
    </row>
    <row r="723" spans="9:12">
      <c r="I723" s="14"/>
      <c r="L723" s="14"/>
    </row>
    <row r="724" spans="9:12">
      <c r="I724" s="14"/>
      <c r="L724" s="14"/>
    </row>
    <row r="725" spans="9:12">
      <c r="I725" s="14"/>
      <c r="L725" s="14"/>
    </row>
    <row r="726" spans="9:12">
      <c r="I726" s="14"/>
      <c r="L726" s="14"/>
    </row>
    <row r="727" spans="9:12">
      <c r="I727" s="14"/>
      <c r="L727" s="14"/>
    </row>
    <row r="728" spans="9:12">
      <c r="I728" s="14"/>
      <c r="L728" s="14"/>
    </row>
    <row r="729" spans="9:12">
      <c r="I729" s="14"/>
      <c r="L729" s="14"/>
    </row>
    <row r="730" spans="9:12">
      <c r="I730" s="14"/>
      <c r="L730" s="14"/>
    </row>
    <row r="731" spans="9:12">
      <c r="I731" s="14"/>
      <c r="L731" s="14"/>
    </row>
    <row r="732" spans="9:12">
      <c r="I732" s="14"/>
      <c r="L732" s="14"/>
    </row>
    <row r="733" spans="9:12">
      <c r="I733" s="14"/>
      <c r="L733" s="14"/>
    </row>
    <row r="734" spans="9:12">
      <c r="I734" s="14"/>
      <c r="L734" s="14"/>
    </row>
    <row r="735" spans="9:12">
      <c r="I735" s="14"/>
      <c r="L735" s="14"/>
    </row>
    <row r="736" spans="9:12">
      <c r="I736" s="14"/>
      <c r="L736" s="14"/>
    </row>
    <row r="737" spans="9:12">
      <c r="I737" s="14"/>
      <c r="L737" s="14"/>
    </row>
    <row r="738" spans="9:12">
      <c r="I738" s="14"/>
      <c r="L738" s="14"/>
    </row>
    <row r="739" spans="9:12">
      <c r="I739" s="14"/>
      <c r="L739" s="14"/>
    </row>
    <row r="740" spans="9:12">
      <c r="I740" s="14"/>
      <c r="L740" s="14"/>
    </row>
    <row r="741" spans="9:12">
      <c r="I741" s="14"/>
      <c r="L741" s="14"/>
    </row>
    <row r="742" spans="9:12">
      <c r="I742" s="14"/>
      <c r="L742" s="14"/>
    </row>
    <row r="743" spans="9:12">
      <c r="I743" s="14"/>
      <c r="L743" s="14"/>
    </row>
    <row r="744" spans="9:12">
      <c r="I744" s="14"/>
      <c r="L744" s="14"/>
    </row>
    <row r="745" spans="9:12">
      <c r="I745" s="14"/>
      <c r="L745" s="14"/>
    </row>
    <row r="746" spans="9:12">
      <c r="I746" s="14"/>
      <c r="L746" s="14"/>
    </row>
    <row r="747" spans="9:12">
      <c r="I747" s="14"/>
      <c r="L747" s="14"/>
    </row>
    <row r="748" spans="9:12">
      <c r="I748" s="14"/>
      <c r="L748" s="14"/>
    </row>
    <row r="749" spans="9:12">
      <c r="I749" s="14"/>
      <c r="L749" s="14"/>
    </row>
    <row r="750" spans="9:12">
      <c r="I750" s="14"/>
      <c r="L750" s="14"/>
    </row>
    <row r="751" spans="9:12">
      <c r="I751" s="14"/>
      <c r="L751" s="14"/>
    </row>
    <row r="752" spans="9:12">
      <c r="I752" s="14"/>
      <c r="L752" s="14"/>
    </row>
    <row r="753" spans="9:12">
      <c r="I753" s="14"/>
      <c r="L753" s="14"/>
    </row>
    <row r="754" spans="9:12">
      <c r="I754" s="14"/>
      <c r="L754" s="14"/>
    </row>
    <row r="755" spans="9:12">
      <c r="I755" s="14"/>
      <c r="L755" s="14"/>
    </row>
    <row r="756" spans="9:12">
      <c r="I756" s="14"/>
      <c r="L756" s="14"/>
    </row>
    <row r="757" spans="9:12">
      <c r="I757" s="14"/>
      <c r="L757" s="14"/>
    </row>
    <row r="758" spans="9:12">
      <c r="I758" s="14"/>
      <c r="L758" s="14"/>
    </row>
    <row r="759" spans="9:12">
      <c r="I759" s="14"/>
      <c r="L759" s="14"/>
    </row>
    <row r="760" spans="9:12">
      <c r="I760" s="14"/>
      <c r="L760" s="14"/>
    </row>
    <row r="761" spans="9:12">
      <c r="I761" s="14"/>
      <c r="L761" s="14"/>
    </row>
    <row r="762" spans="9:12">
      <c r="I762" s="14"/>
      <c r="L762" s="14"/>
    </row>
    <row r="763" spans="9:12">
      <c r="I763" s="14"/>
      <c r="L763" s="14"/>
    </row>
    <row r="764" spans="9:12">
      <c r="I764" s="14"/>
      <c r="L764" s="14"/>
    </row>
    <row r="765" spans="9:12">
      <c r="I765" s="14"/>
      <c r="L765" s="14"/>
    </row>
    <row r="766" spans="9:12">
      <c r="I766" s="14"/>
      <c r="L766" s="14"/>
    </row>
    <row r="767" spans="9:12">
      <c r="I767" s="14"/>
      <c r="L767" s="14"/>
    </row>
    <row r="768" spans="9:12">
      <c r="I768" s="14"/>
      <c r="L768" s="14"/>
    </row>
    <row r="769" spans="9:12">
      <c r="I769" s="14"/>
      <c r="L769" s="14"/>
    </row>
    <row r="770" spans="9:12">
      <c r="I770" s="14"/>
      <c r="L770" s="14"/>
    </row>
    <row r="771" spans="9:12">
      <c r="I771" s="14"/>
      <c r="L771" s="14"/>
    </row>
    <row r="772" spans="9:12">
      <c r="I772" s="14"/>
      <c r="L772" s="14"/>
    </row>
    <row r="773" spans="9:12">
      <c r="I773" s="14"/>
      <c r="L773" s="14"/>
    </row>
    <row r="774" spans="9:12">
      <c r="I774" s="14"/>
      <c r="L774" s="14"/>
    </row>
    <row r="775" spans="9:12">
      <c r="I775" s="14"/>
      <c r="L775" s="14"/>
    </row>
    <row r="776" spans="9:12">
      <c r="I776" s="14"/>
      <c r="L776" s="14"/>
    </row>
    <row r="777" spans="9:12">
      <c r="I777" s="14"/>
      <c r="L777" s="14"/>
    </row>
    <row r="778" spans="9:12">
      <c r="I778" s="14"/>
      <c r="L778" s="14"/>
    </row>
    <row r="779" spans="9:12">
      <c r="I779" s="14"/>
      <c r="L779" s="14"/>
    </row>
    <row r="780" spans="9:12">
      <c r="I780" s="14"/>
      <c r="L780" s="14"/>
    </row>
    <row r="781" spans="9:12">
      <c r="I781" s="14"/>
      <c r="L781" s="14"/>
    </row>
    <row r="782" spans="9:12">
      <c r="I782" s="14"/>
      <c r="L782" s="14"/>
    </row>
    <row r="783" spans="9:12">
      <c r="I783" s="14"/>
      <c r="L783" s="14"/>
    </row>
    <row r="784" spans="9:12">
      <c r="I784" s="14"/>
      <c r="L784" s="14"/>
    </row>
    <row r="785" spans="9:12">
      <c r="I785" s="14"/>
      <c r="L785" s="14"/>
    </row>
    <row r="786" spans="9:12">
      <c r="I786" s="14"/>
      <c r="L786" s="14"/>
    </row>
    <row r="787" spans="9:12">
      <c r="I787" s="14"/>
      <c r="L787" s="14"/>
    </row>
    <row r="788" spans="9:12">
      <c r="I788" s="14"/>
      <c r="L788" s="14"/>
    </row>
    <row r="789" spans="9:12">
      <c r="I789" s="14"/>
      <c r="L789" s="14"/>
    </row>
    <row r="790" spans="9:12">
      <c r="I790" s="14"/>
      <c r="L790" s="14"/>
    </row>
    <row r="791" spans="9:12">
      <c r="I791" s="14"/>
      <c r="L791" s="14"/>
    </row>
    <row r="792" spans="9:12">
      <c r="I792" s="14"/>
      <c r="L792" s="14"/>
    </row>
    <row r="793" spans="9:12">
      <c r="I793" s="14"/>
      <c r="L793" s="14"/>
    </row>
    <row r="794" spans="9:12">
      <c r="I794" s="14"/>
      <c r="L794" s="14"/>
    </row>
    <row r="795" spans="9:12">
      <c r="I795" s="14"/>
      <c r="L795" s="14"/>
    </row>
    <row r="796" spans="9:12">
      <c r="I796" s="14"/>
      <c r="L796" s="14"/>
    </row>
    <row r="797" spans="9:12">
      <c r="I797" s="14"/>
      <c r="L797" s="14"/>
    </row>
    <row r="798" spans="9:12">
      <c r="I798" s="14"/>
      <c r="L798" s="14"/>
    </row>
    <row r="799" spans="9:12">
      <c r="I799" s="14"/>
      <c r="L799" s="14"/>
    </row>
    <row r="800" spans="9:12">
      <c r="I800" s="14"/>
      <c r="L800" s="14"/>
    </row>
    <row r="801" spans="9:12">
      <c r="I801" s="14"/>
      <c r="L801" s="14"/>
    </row>
    <row r="802" spans="9:12">
      <c r="I802" s="14"/>
      <c r="L802" s="14"/>
    </row>
    <row r="803" spans="9:12">
      <c r="I803" s="14"/>
      <c r="L803" s="14"/>
    </row>
    <row r="804" spans="9:12">
      <c r="I804" s="14"/>
      <c r="L804" s="14"/>
    </row>
    <row r="805" spans="9:12">
      <c r="I805" s="14"/>
      <c r="L805" s="14"/>
    </row>
    <row r="806" spans="9:12">
      <c r="I806" s="14"/>
      <c r="L806" s="14"/>
    </row>
    <row r="807" spans="9:12">
      <c r="I807" s="14"/>
      <c r="L807" s="14"/>
    </row>
    <row r="808" spans="9:12">
      <c r="I808" s="14"/>
      <c r="L808" s="14"/>
    </row>
    <row r="809" spans="9:12">
      <c r="I809" s="14"/>
      <c r="L809" s="14"/>
    </row>
    <row r="810" spans="9:12">
      <c r="I810" s="14"/>
      <c r="L810" s="14"/>
    </row>
    <row r="811" spans="9:12">
      <c r="I811" s="14"/>
      <c r="L811" s="14"/>
    </row>
    <row r="812" spans="9:12">
      <c r="I812" s="14"/>
      <c r="L812" s="14"/>
    </row>
    <row r="813" spans="9:12">
      <c r="I813" s="14"/>
      <c r="L813" s="14"/>
    </row>
    <row r="814" spans="9:12">
      <c r="I814" s="14"/>
      <c r="L814" s="14"/>
    </row>
    <row r="815" spans="9:12">
      <c r="I815" s="14"/>
      <c r="L815" s="14"/>
    </row>
    <row r="816" spans="9:12">
      <c r="I816" s="14"/>
      <c r="L816" s="14"/>
    </row>
    <row r="817" spans="9:12">
      <c r="I817" s="14"/>
      <c r="L817" s="14"/>
    </row>
    <row r="818" spans="9:12">
      <c r="I818" s="14"/>
      <c r="L818" s="14"/>
    </row>
    <row r="819" spans="9:12">
      <c r="I819" s="14"/>
      <c r="L819" s="14"/>
    </row>
    <row r="820" spans="9:12">
      <c r="I820" s="14"/>
      <c r="L820" s="14"/>
    </row>
    <row r="821" spans="9:12">
      <c r="I821" s="14"/>
      <c r="L821" s="14"/>
    </row>
    <row r="822" spans="9:12">
      <c r="I822" s="14"/>
      <c r="L822" s="14"/>
    </row>
    <row r="823" spans="9:12">
      <c r="I823" s="14"/>
      <c r="L823" s="14"/>
    </row>
    <row r="824" spans="9:12">
      <c r="I824" s="14"/>
      <c r="L824" s="14"/>
    </row>
    <row r="825" spans="9:12">
      <c r="I825" s="14"/>
      <c r="L825" s="14"/>
    </row>
    <row r="826" spans="9:12">
      <c r="I826" s="14"/>
      <c r="L826" s="14"/>
    </row>
    <row r="827" spans="9:12">
      <c r="I827" s="14"/>
      <c r="L827" s="14"/>
    </row>
    <row r="828" spans="9:12">
      <c r="I828" s="14"/>
      <c r="L828" s="14"/>
    </row>
    <row r="829" spans="9:12">
      <c r="I829" s="14"/>
      <c r="L829" s="14"/>
    </row>
    <row r="830" spans="9:12">
      <c r="I830" s="14"/>
      <c r="L830" s="14"/>
    </row>
    <row r="831" spans="9:12">
      <c r="I831" s="14"/>
      <c r="L831" s="14"/>
    </row>
    <row r="832" spans="9:12">
      <c r="I832" s="14"/>
      <c r="L832" s="14"/>
    </row>
    <row r="833" spans="9:12">
      <c r="I833" s="14"/>
      <c r="L833" s="14"/>
    </row>
    <row r="834" spans="9:12">
      <c r="I834" s="14"/>
      <c r="L834" s="14"/>
    </row>
    <row r="835" spans="9:12">
      <c r="I835" s="14"/>
      <c r="L835" s="14"/>
    </row>
    <row r="836" spans="9:12">
      <c r="I836" s="14"/>
      <c r="L836" s="14"/>
    </row>
    <row r="837" spans="9:12">
      <c r="I837" s="14"/>
      <c r="L837" s="14"/>
    </row>
    <row r="838" spans="9:12">
      <c r="I838" s="14"/>
      <c r="L838" s="14"/>
    </row>
    <row r="839" spans="9:12">
      <c r="I839" s="14"/>
      <c r="L839" s="14"/>
    </row>
    <row r="840" spans="9:12">
      <c r="I840" s="14"/>
      <c r="L840" s="14"/>
    </row>
    <row r="841" spans="9:12">
      <c r="I841" s="14"/>
      <c r="L841" s="14"/>
    </row>
    <row r="842" spans="9:12">
      <c r="I842" s="14"/>
      <c r="L842" s="14"/>
    </row>
    <row r="843" spans="9:12">
      <c r="I843" s="14"/>
      <c r="L843" s="14"/>
    </row>
    <row r="844" spans="9:12">
      <c r="I844" s="14"/>
      <c r="L844" s="14"/>
    </row>
    <row r="845" spans="9:12">
      <c r="I845" s="14"/>
      <c r="L845" s="14"/>
    </row>
    <row r="846" spans="9:12">
      <c r="I846" s="14"/>
      <c r="L846" s="14"/>
    </row>
    <row r="847" spans="9:12">
      <c r="I847" s="14"/>
      <c r="L847" s="14"/>
    </row>
    <row r="848" spans="9:12">
      <c r="I848" s="14"/>
      <c r="L848" s="14"/>
    </row>
    <row r="849" spans="9:12">
      <c r="I849" s="14"/>
      <c r="L849" s="14"/>
    </row>
    <row r="850" spans="9:12">
      <c r="I850" s="14"/>
      <c r="L850" s="14"/>
    </row>
    <row r="851" spans="9:12">
      <c r="I851" s="14"/>
      <c r="L851" s="14"/>
    </row>
    <row r="852" spans="9:12">
      <c r="I852" s="14"/>
      <c r="L852" s="14"/>
    </row>
    <row r="853" spans="9:12">
      <c r="I853" s="14"/>
      <c r="L853" s="14"/>
    </row>
    <row r="854" spans="9:12">
      <c r="I854" s="14"/>
      <c r="L854" s="14"/>
    </row>
    <row r="855" spans="9:12">
      <c r="I855" s="14"/>
      <c r="L855" s="14"/>
    </row>
    <row r="856" spans="9:12">
      <c r="I856" s="14"/>
      <c r="L856" s="14"/>
    </row>
    <row r="857" spans="9:12">
      <c r="I857" s="14"/>
      <c r="L857" s="14"/>
    </row>
    <row r="858" spans="9:12">
      <c r="I858" s="14"/>
      <c r="L858" s="14"/>
    </row>
    <row r="859" spans="9:12">
      <c r="I859" s="14"/>
      <c r="L859" s="14"/>
    </row>
    <row r="860" spans="9:12">
      <c r="I860" s="14"/>
      <c r="L860" s="14"/>
    </row>
    <row r="861" spans="9:12">
      <c r="I861" s="14"/>
      <c r="L861" s="14"/>
    </row>
    <row r="862" spans="9:12">
      <c r="I862" s="14"/>
      <c r="L862" s="14"/>
    </row>
    <row r="863" spans="9:12">
      <c r="I863" s="14"/>
      <c r="L863" s="14"/>
    </row>
    <row r="864" spans="9:12">
      <c r="I864" s="14"/>
      <c r="L864" s="14"/>
    </row>
    <row r="865" spans="9:12">
      <c r="I865" s="14"/>
      <c r="L865" s="14"/>
    </row>
    <row r="866" spans="9:12">
      <c r="I866" s="14"/>
      <c r="L866" s="14"/>
    </row>
    <row r="867" spans="9:12">
      <c r="I867" s="14"/>
      <c r="L867" s="14"/>
    </row>
    <row r="868" spans="9:12">
      <c r="I868" s="14"/>
      <c r="L868" s="14"/>
    </row>
    <row r="869" spans="9:12">
      <c r="I869" s="14"/>
      <c r="L869" s="14"/>
    </row>
    <row r="870" spans="9:12">
      <c r="I870" s="14"/>
      <c r="L870" s="14"/>
    </row>
    <row r="871" spans="9:12">
      <c r="I871" s="14"/>
      <c r="L871" s="14"/>
    </row>
    <row r="872" spans="9:12">
      <c r="I872" s="14"/>
      <c r="L872" s="14"/>
    </row>
    <row r="873" spans="9:12">
      <c r="I873" s="14"/>
      <c r="L873" s="14"/>
    </row>
    <row r="874" spans="9:12">
      <c r="I874" s="14"/>
      <c r="L874" s="14"/>
    </row>
    <row r="875" spans="9:12">
      <c r="I875" s="14"/>
      <c r="L875" s="14"/>
    </row>
    <row r="876" spans="9:12">
      <c r="I876" s="14"/>
      <c r="L876" s="14"/>
    </row>
    <row r="877" spans="9:12">
      <c r="I877" s="14"/>
      <c r="L877" s="14"/>
    </row>
    <row r="878" spans="9:12">
      <c r="I878" s="14"/>
      <c r="L878" s="14"/>
    </row>
    <row r="879" spans="9:12">
      <c r="I879" s="14"/>
      <c r="L879" s="14"/>
    </row>
    <row r="880" spans="9:12">
      <c r="I880" s="14"/>
      <c r="L880" s="14"/>
    </row>
    <row r="881" spans="9:12">
      <c r="I881" s="14"/>
      <c r="L881" s="14"/>
    </row>
    <row r="882" spans="9:12">
      <c r="I882" s="14"/>
      <c r="L882" s="14"/>
    </row>
    <row r="883" spans="9:12">
      <c r="I883" s="14"/>
      <c r="L883" s="14"/>
    </row>
    <row r="884" spans="9:12">
      <c r="I884" s="14"/>
      <c r="L884" s="14"/>
    </row>
    <row r="885" spans="9:12">
      <c r="I885" s="14"/>
      <c r="L885" s="14"/>
    </row>
    <row r="886" spans="9:12">
      <c r="I886" s="14"/>
      <c r="L886" s="14"/>
    </row>
    <row r="887" spans="9:12">
      <c r="I887" s="14"/>
      <c r="L887" s="14"/>
    </row>
    <row r="888" spans="9:12">
      <c r="I888" s="14"/>
      <c r="L888" s="14"/>
    </row>
    <row r="889" spans="9:12">
      <c r="I889" s="14"/>
      <c r="L889" s="14"/>
    </row>
    <row r="890" spans="9:12">
      <c r="I890" s="14"/>
      <c r="L890" s="14"/>
    </row>
    <row r="891" spans="9:12">
      <c r="I891" s="14"/>
      <c r="L891" s="14"/>
    </row>
    <row r="892" spans="9:12">
      <c r="I892" s="14"/>
      <c r="L892" s="14"/>
    </row>
    <row r="893" spans="9:12">
      <c r="I893" s="14"/>
      <c r="L893" s="14"/>
    </row>
    <row r="894" spans="9:12">
      <c r="I894" s="14"/>
      <c r="L894" s="14"/>
    </row>
    <row r="895" spans="9:12">
      <c r="I895" s="14"/>
      <c r="L895" s="14"/>
    </row>
    <row r="896" spans="9:12">
      <c r="I896" s="14"/>
      <c r="L896" s="14"/>
    </row>
    <row r="897" spans="9:12">
      <c r="I897" s="14"/>
      <c r="L897" s="14"/>
    </row>
    <row r="898" spans="9:12">
      <c r="I898" s="14"/>
      <c r="L898" s="14"/>
    </row>
    <row r="899" spans="9:12">
      <c r="I899" s="14"/>
      <c r="L899" s="14"/>
    </row>
    <row r="900" spans="9:12">
      <c r="I900" s="14"/>
      <c r="L900" s="14"/>
    </row>
    <row r="901" spans="9:12">
      <c r="I901" s="14"/>
      <c r="L901" s="14"/>
    </row>
    <row r="902" spans="9:12">
      <c r="I902" s="14"/>
      <c r="L902" s="14"/>
    </row>
    <row r="903" spans="9:12">
      <c r="I903" s="14"/>
      <c r="L903" s="14"/>
    </row>
    <row r="904" spans="9:12">
      <c r="I904" s="14"/>
      <c r="L904" s="14"/>
    </row>
    <row r="905" spans="9:12">
      <c r="I905" s="14"/>
      <c r="L905" s="14"/>
    </row>
    <row r="906" spans="9:12">
      <c r="I906" s="14"/>
      <c r="L906" s="14"/>
    </row>
    <row r="907" spans="9:12">
      <c r="I907" s="14"/>
      <c r="L907" s="14"/>
    </row>
    <row r="908" spans="9:12">
      <c r="I908" s="14"/>
      <c r="L908" s="14"/>
    </row>
    <row r="909" spans="9:12">
      <c r="I909" s="14"/>
      <c r="L909" s="14"/>
    </row>
    <row r="910" spans="9:12">
      <c r="I910" s="14"/>
      <c r="L910" s="14"/>
    </row>
    <row r="911" spans="9:12">
      <c r="I911" s="14"/>
      <c r="L911" s="14"/>
    </row>
    <row r="912" spans="9:12">
      <c r="I912" s="14"/>
      <c r="L912" s="14"/>
    </row>
    <row r="913" spans="9:12">
      <c r="I913" s="14"/>
      <c r="L913" s="14"/>
    </row>
    <row r="914" spans="9:12">
      <c r="I914" s="14"/>
      <c r="L914" s="14"/>
    </row>
    <row r="915" spans="9:12">
      <c r="I915" s="14"/>
      <c r="L915" s="14"/>
    </row>
    <row r="916" spans="9:12">
      <c r="I916" s="14"/>
      <c r="L916" s="14"/>
    </row>
    <row r="917" spans="9:12">
      <c r="I917" s="14"/>
      <c r="L917" s="14"/>
    </row>
    <row r="918" spans="9:12">
      <c r="I918" s="14"/>
      <c r="L918" s="14"/>
    </row>
    <row r="919" spans="9:12">
      <c r="I919" s="14"/>
      <c r="L919" s="14"/>
    </row>
    <row r="920" spans="9:12">
      <c r="I920" s="14"/>
      <c r="L920" s="14"/>
    </row>
    <row r="921" spans="9:12">
      <c r="I921" s="14"/>
      <c r="L921" s="14"/>
    </row>
    <row r="922" spans="9:12">
      <c r="I922" s="14"/>
      <c r="L922" s="14"/>
    </row>
    <row r="923" spans="9:12">
      <c r="I923" s="14"/>
      <c r="L923" s="14"/>
    </row>
    <row r="924" spans="9:12">
      <c r="I924" s="14"/>
      <c r="L924" s="14"/>
    </row>
    <row r="925" spans="9:12">
      <c r="I925" s="14"/>
      <c r="L925" s="14"/>
    </row>
    <row r="926" spans="9:12">
      <c r="I926" s="14"/>
      <c r="L926" s="14"/>
    </row>
    <row r="927" spans="9:12">
      <c r="I927" s="14"/>
      <c r="L927" s="14"/>
    </row>
    <row r="928" spans="9:12">
      <c r="I928" s="14"/>
      <c r="L928" s="14"/>
    </row>
    <row r="929" spans="9:12">
      <c r="I929" s="14"/>
      <c r="L929" s="14"/>
    </row>
    <row r="930" spans="9:12">
      <c r="I930" s="14"/>
      <c r="L930" s="14"/>
    </row>
    <row r="931" spans="9:12">
      <c r="I931" s="14"/>
      <c r="L931" s="14"/>
    </row>
    <row r="932" spans="9:12">
      <c r="I932" s="14"/>
      <c r="L932" s="14"/>
    </row>
    <row r="933" spans="9:12">
      <c r="I933" s="14"/>
      <c r="L933" s="14"/>
    </row>
    <row r="934" spans="9:12">
      <c r="I934" s="14"/>
      <c r="L934" s="14"/>
    </row>
    <row r="935" spans="9:12">
      <c r="I935" s="14"/>
      <c r="L935" s="14"/>
    </row>
    <row r="936" spans="9:12">
      <c r="I936" s="14"/>
      <c r="L936" s="14"/>
    </row>
    <row r="937" spans="9:12">
      <c r="I937" s="14"/>
      <c r="L937" s="14"/>
    </row>
    <row r="938" spans="9:12">
      <c r="I938" s="14"/>
      <c r="L938" s="14"/>
    </row>
    <row r="939" spans="9:12">
      <c r="I939" s="14"/>
      <c r="L939" s="14"/>
    </row>
    <row r="940" spans="9:12">
      <c r="I940" s="14"/>
      <c r="L940" s="14"/>
    </row>
    <row r="941" spans="9:12">
      <c r="I941" s="14"/>
      <c r="L941" s="14"/>
    </row>
    <row r="942" spans="9:12">
      <c r="I942" s="14"/>
      <c r="L942" s="14"/>
    </row>
    <row r="943" spans="9:12">
      <c r="I943" s="14"/>
      <c r="L943" s="14"/>
    </row>
    <row r="944" spans="9:12">
      <c r="I944" s="14"/>
      <c r="L944" s="14"/>
    </row>
    <row r="945" spans="9:12">
      <c r="I945" s="14"/>
      <c r="L945" s="14"/>
    </row>
    <row r="946" spans="9:12">
      <c r="I946" s="14"/>
      <c r="L946" s="14"/>
    </row>
    <row r="947" spans="9:12">
      <c r="I947" s="14"/>
      <c r="L947" s="14"/>
    </row>
    <row r="948" spans="9:12">
      <c r="I948" s="14"/>
      <c r="L948" s="14"/>
    </row>
    <row r="949" spans="9:12">
      <c r="I949" s="14"/>
      <c r="L949" s="14"/>
    </row>
    <row r="950" spans="9:12">
      <c r="I950" s="14"/>
      <c r="L950" s="14"/>
    </row>
    <row r="951" spans="9:12">
      <c r="I951" s="14"/>
      <c r="L951" s="14"/>
    </row>
    <row r="952" spans="9:12">
      <c r="I952" s="14"/>
      <c r="L952" s="14"/>
    </row>
    <row r="953" spans="9:12">
      <c r="I953" s="14"/>
      <c r="L953" s="14"/>
    </row>
    <row r="954" spans="9:12">
      <c r="I954" s="14"/>
      <c r="L954" s="14"/>
    </row>
    <row r="955" spans="9:12">
      <c r="I955" s="14"/>
      <c r="L955" s="14"/>
    </row>
    <row r="956" spans="9:12">
      <c r="I956" s="14"/>
      <c r="L956" s="14"/>
    </row>
    <row r="957" spans="9:12">
      <c r="I957" s="14"/>
      <c r="L957" s="14"/>
    </row>
    <row r="958" spans="9:12">
      <c r="I958" s="14"/>
      <c r="L958" s="14"/>
    </row>
    <row r="959" spans="9:12">
      <c r="I959" s="14"/>
      <c r="L959" s="14"/>
    </row>
    <row r="960" spans="9:12">
      <c r="I960" s="14"/>
      <c r="L960" s="14"/>
    </row>
    <row r="961" spans="9:12">
      <c r="I961" s="14"/>
      <c r="L961" s="14"/>
    </row>
    <row r="962" spans="9:12">
      <c r="I962" s="14"/>
      <c r="L962" s="14"/>
    </row>
    <row r="963" spans="9:12">
      <c r="I963" s="14"/>
      <c r="L963" s="14"/>
    </row>
    <row r="964" spans="9:12">
      <c r="I964" s="14"/>
      <c r="L964" s="14"/>
    </row>
    <row r="965" spans="9:12">
      <c r="I965" s="14"/>
      <c r="L965" s="14"/>
    </row>
    <row r="966" spans="9:12">
      <c r="I966" s="14"/>
      <c r="L966" s="14"/>
    </row>
    <row r="967" spans="9:12">
      <c r="I967" s="14"/>
      <c r="L967" s="14"/>
    </row>
    <row r="968" spans="9:12">
      <c r="I968" s="14"/>
      <c r="L968" s="14"/>
    </row>
    <row r="969" spans="9:12">
      <c r="I969" s="14"/>
      <c r="L969" s="14"/>
    </row>
    <row r="970" spans="9:12">
      <c r="I970" s="14"/>
      <c r="L970" s="14"/>
    </row>
    <row r="971" spans="9:12">
      <c r="I971" s="14"/>
      <c r="L971" s="14"/>
    </row>
    <row r="972" spans="9:12">
      <c r="I972" s="14"/>
      <c r="L972" s="14"/>
    </row>
    <row r="973" spans="9:12">
      <c r="I973" s="14"/>
      <c r="L973" s="14"/>
    </row>
    <row r="974" spans="9:12">
      <c r="I974" s="14"/>
      <c r="L974" s="14"/>
    </row>
    <row r="975" spans="9:12">
      <c r="I975" s="14"/>
      <c r="L975" s="14"/>
    </row>
    <row r="976" spans="9:12">
      <c r="I976" s="14"/>
      <c r="L976" s="14"/>
    </row>
    <row r="977" spans="9:12">
      <c r="I977" s="14"/>
      <c r="L977" s="14"/>
    </row>
    <row r="978" spans="9:12">
      <c r="I978" s="14"/>
      <c r="L978" s="14"/>
    </row>
    <row r="979" spans="9:12">
      <c r="I979" s="14"/>
      <c r="L979" s="14"/>
    </row>
    <row r="980" spans="9:12">
      <c r="I980" s="14"/>
      <c r="L980" s="14"/>
    </row>
    <row r="981" spans="9:12">
      <c r="I981" s="14"/>
      <c r="L981" s="14"/>
    </row>
    <row r="982" spans="9:12">
      <c r="I982" s="14"/>
      <c r="L982" s="14"/>
    </row>
    <row r="983" spans="9:12">
      <c r="I983" s="14"/>
      <c r="L983" s="14"/>
    </row>
    <row r="984" spans="9:12">
      <c r="I984" s="14"/>
      <c r="L984" s="14"/>
    </row>
    <row r="985" spans="9:12">
      <c r="I985" s="14"/>
      <c r="L985" s="14"/>
    </row>
    <row r="986" spans="9:12">
      <c r="I986" s="14"/>
      <c r="L986" s="14"/>
    </row>
    <row r="987" spans="9:12">
      <c r="I987" s="14"/>
      <c r="L987" s="14"/>
    </row>
    <row r="988" spans="9:12">
      <c r="I988" s="14"/>
      <c r="L988" s="14"/>
    </row>
    <row r="989" spans="9:12">
      <c r="I989" s="14"/>
      <c r="L989" s="14"/>
    </row>
    <row r="990" spans="9:12">
      <c r="I990" s="14"/>
      <c r="L990" s="14"/>
    </row>
    <row r="991" spans="9:12">
      <c r="I991" s="14"/>
      <c r="L991" s="14"/>
    </row>
    <row r="992" spans="9:12">
      <c r="I992" s="14"/>
      <c r="L992" s="14"/>
    </row>
    <row r="993" spans="9:12">
      <c r="I993" s="14"/>
      <c r="L993" s="14"/>
    </row>
    <row r="994" spans="9:12">
      <c r="I994" s="14"/>
      <c r="L994" s="14"/>
    </row>
    <row r="995" spans="9:12">
      <c r="I995" s="14"/>
      <c r="L995" s="14"/>
    </row>
    <row r="996" spans="9:12">
      <c r="I996" s="14"/>
      <c r="L996" s="14"/>
    </row>
    <row r="997" spans="9:12">
      <c r="I997" s="14"/>
      <c r="L997" s="14"/>
    </row>
    <row r="998" spans="9:12">
      <c r="I998" s="14"/>
      <c r="L998" s="14"/>
    </row>
    <row r="999" spans="9:12">
      <c r="I999" s="14"/>
      <c r="L999" s="14"/>
    </row>
    <row r="1000" spans="9:12">
      <c r="I1000" s="14"/>
      <c r="L1000" s="14"/>
    </row>
    <row r="1001" spans="9:12">
      <c r="I1001" s="14"/>
      <c r="L1001" s="14"/>
    </row>
    <row r="1002" spans="9:12">
      <c r="I1002" s="14"/>
      <c r="L1002" s="14"/>
    </row>
    <row r="1003" spans="9:12">
      <c r="I1003" s="14"/>
      <c r="L1003" s="14"/>
    </row>
    <row r="1004" spans="9:12">
      <c r="I1004" s="14"/>
      <c r="L1004" s="14"/>
    </row>
    <row r="1005" spans="9:12">
      <c r="I1005" s="14"/>
      <c r="L1005" s="14"/>
    </row>
    <row r="1006" spans="9:12">
      <c r="I1006" s="14"/>
      <c r="L1006" s="14"/>
    </row>
    <row r="1007" spans="9:12">
      <c r="I1007" s="14"/>
      <c r="L1007" s="14"/>
    </row>
    <row r="1008" spans="9:12">
      <c r="I1008" s="14"/>
      <c r="L1008" s="14"/>
    </row>
  </sheetData>
  <conditionalFormatting sqref="A9:A1008">
    <cfRule type="expression" dxfId="4" priority="5">
      <formula>AND($A9&lt;&gt;"",COUNTIF($A$9:$A$1008,$A9)&gt;1)</formula>
    </cfRule>
  </conditionalFormatting>
  <conditionalFormatting sqref="B9:B1008">
    <cfRule type="cellIs" dxfId="3" priority="1" operator="equal">
      <formula>"Awaiting source"</formula>
    </cfRule>
    <cfRule type="cellIs" dxfId="2" priority="2" operator="equal">
      <formula>"Deferred"</formula>
    </cfRule>
    <cfRule type="cellIs" dxfId="1" priority="3" operator="equal">
      <formula>"Closed"</formula>
    </cfRule>
  </conditionalFormatting>
  <conditionalFormatting sqref="J9:J1008">
    <cfRule type="expression" dxfId="0" priority="4">
      <formula>AND($A9&lt;&gt;"",OR($B9="Closed",$B9="Not applicable"),$J9="")</formula>
    </cfRule>
  </conditionalFormatting>
  <dataValidations count="1">
    <dataValidation type="list" sqref="B9:B1008" xr:uid="{00000000-0002-0000-0000-000000000000}">
      <formula1>"Open,In progress,Awaiting source,Deferred,Closed,Not applicable"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Coherence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Joshua Turley</cp:lastModifiedBy>
  <dcterms:created xsi:type="dcterms:W3CDTF">2026-10-16T14:06:14Z</dcterms:created>
  <dcterms:modified xsi:type="dcterms:W3CDTF">2026-10-16T14:55:31Z</dcterms:modified>
</cp:coreProperties>
</file>