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<sst xmlns="http://schemas.openxmlformats.org/spreadsheetml/2006/main" count="192" uniqueCount="152">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</sst>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r="A3" s="4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r="B4" s="15">
        <f>COUNTIFS($A$9:$A$1008,"&lt;&gt;",$B$9:$B$1008,"&lt;&gt;Closed",$B$9:$B$1008,"&lt;&gt;Not applicable")</f>
        <v>10</v>
      </c>
      <c r="C4" s="1" t="s">
        <v>3</v>
      </c>
      <c r="D4" s="15">
        <f>COUNTIFS($A$9:$A$1008,"&lt;&gt;",$B$9:$B$1008,"Awaiting source")</f>
        <v>1</v>
      </c>
      <c r="E4" s="1" t="s">
        <v>4</v>
      </c>
      <c r="F4" s="15">
        <f>COUNTIFS($A$9:$A$1008,"&lt;&gt;",$B$9:$B$1008,"Deferred")</f>
        <v>1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r="31" spans="1:12" ht="21" customHeight="1">
      <c r="A31" s="6"/>
      <c r="B31" s="12"/>
      <c r="C31" s="7"/>
      <c r="D31" s="7"/>
      <c r="E31" s="7"/>
      <c r="F31" s="7"/>
      <c r="G31" s="12"/>
      <c r="H31" s="12"/>
      <c r="I31" s="13"/>
      <c r="J31" s="12"/>
      <c r="K31" s="7"/>
      <c r="L31" s="13"/>
    </row>
    <row r="32" spans="1:12" ht="21" customHeight="1">
      <c r="A32" s="9"/>
      <c r="B32" s="12"/>
      <c r="C32" s="10"/>
      <c r="D32" s="10"/>
      <c r="E32" s="10"/>
      <c r="F32" s="10"/>
      <c r="G32" s="12"/>
      <c r="H32" s="12"/>
      <c r="I32" s="13"/>
      <c r="J32" s="12"/>
      <c r="K32" s="10"/>
      <c r="L32" s="13"/>
    </row>
    <row r="33" spans="1:12" ht="21" customHeight="1">
      <c r="A33" s="6"/>
      <c r="B33" s="12"/>
      <c r="C33" s="7"/>
      <c r="D33" s="7"/>
      <c r="E33" s="7"/>
      <c r="F33" s="7"/>
      <c r="G33" s="12"/>
      <c r="H33" s="12"/>
      <c r="I33" s="13"/>
      <c r="J33" s="12"/>
      <c r="K33" s="7"/>
      <c r="L33" s="13"/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