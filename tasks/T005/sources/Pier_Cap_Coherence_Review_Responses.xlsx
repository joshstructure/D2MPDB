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1b42824e6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herence review" sheetId="1" r:id="Rddf84efe35b5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"/>
  </x:numFmts>
  <x:fonts count="9">
    <x:font>
      <x:sz val="11"/>
      <x:name val="Carlito"/>
    </x:font>
    <x:font>
      <x:sz val="11"/>
      <x:color rgb="FF203247"/>
      <x:name val="Arial"/>
    </x:font>
    <x:font>
      <x:b/>
      <x:sz val="17"/>
      <x:color rgb="FF203247"/>
      <x:name val="Arial"/>
    </x:font>
    <x:font>
      <x:sz val="11"/>
      <x:color rgb="FF536578"/>
      <x:name val="Arial"/>
    </x:font>
    <x:font>
      <x:b/>
      <x:sz val="11"/>
      <x:color rgb="FFFFFFFF"/>
      <x:name val="Arial"/>
    </x:font>
    <x:font>
      <x:b/>
      <x:sz val="11"/>
      <x:color rgb="FF203247"/>
      <x:name val="Arial"/>
    </x:font>
    <x:font>
      <x:sz val="11"/>
      <x:color rgb="FF1F4E79"/>
      <x:name val="Arial"/>
    </x:font>
    <x:font>
      <x:b/>
      <x:sz val="15"/>
      <x:color rgb="FF203247"/>
      <x:name val="Arial"/>
    </x:font>
    <x:font>
      <x:i/>
      <x:sz val="11"/>
      <x:color rgb="FF5365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6EF"/>
      </x:patternFill>
    </x:fill>
  </x:fills>
  <x:borders count="4">
    <x:border/>
    <x:border>
      <x:bottom style="thin">
        <x:color rgb="FF8B9BAD"/>
      </x:bottom>
    </x:border>
    <x:border>
      <x:bottom style="thin">
        <x:color rgb="FFD8E1E9"/>
      </x:bottom>
    </x:border>
    <x:border>
      <x:bottom style="thin">
        <x:color rgb="FFE2E8E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horizontal="center"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0" fontId="1" fillId="4" borderId="3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202" fontId="1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91f3fe9384b9a" /><Relationship Type="http://schemas.openxmlformats.org/officeDocument/2006/relationships/theme" Target="/xl/theme/theme1.xml" Id="R5849fb0cd68d4419" /><Relationship Type="http://schemas.openxmlformats.org/officeDocument/2006/relationships/sharedStrings" Target="/xl/sharedStrings.xml" Id="R6848f531db034434" /><Relationship Type="http://schemas.openxmlformats.org/officeDocument/2006/relationships/worksheet" Target="/xl/worksheets/sheet1.xml" Id="Rddf84efe35b54c1b" /></Relationships>
</file>

<file path=xl/tables/table1.xml><?xml version="1.0" encoding="utf-8"?>
<x:table xmlns:x="http://schemas.openxmlformats.org/spreadsheetml/2006/main" id="1" name="PierCoherenceResponses" displayName="PierCoherenceResponses" ref="A7:G16" headerRowCount="1" totalsRowCount="0" totalsRowShown="0">
  <x:autoFilter ref="A7:G16"/>
  <x:tableColumns count="7">
    <x:tableColumn id="1" name="Item"/>
    <x:tableColumn id="2" name="Review topic"/>
    <x:tableColumn id="3" name="Finding and current treatment"/>
    <x:tableColumn id="4" name="Decision or information needed"/>
    <x:tableColumn id="5" name="Your decision"/>
    <x:tableColumn id="6" name="Your instructions"/>
    <x:tableColumn id="7" name="New values / supporting fi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5156bbf86d4c7d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5.75" hidden="0" customWidth="1"/>
    <x:col min="2" max="2" width="19.75" hidden="0" customWidth="1"/>
    <x:col min="3" max="3" width="48.25" hidden="0" customWidth="1"/>
    <x:col min="4" max="4" width="34.75" hidden="0" customWidth="1"/>
    <x:col min="5" max="5" width="18" hidden="0" customWidth="1"/>
    <x:col min="6" max="6" width="45" hidden="0" customWidth="1"/>
    <x:col min="7" max="7" width="31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Pier cap coherence review</x:v>
      </x:c>
      <x:c r="B2" s="5"/>
      <x:c r="C2" s="5"/>
      <x:c r="D2" s="5"/>
      <x:c r="E2" s="5"/>
      <x:c r="F2" s="5"/>
      <x:c r="G2" s="5"/>
    </x:row>
    <x:row r="3" ht="17.25" customHeight="1">
      <x:c r="A3" s="6" t="str">
        <x:v>D2 I-95 Pedestrian Bridge • October 9, 2026 • BPAD: geometry and source references only. Steel stays in this review and the report.</x:v>
      </x:c>
      <x:c r="B3" s="6"/>
      <x:c r="C3" s="6"/>
      <x:c r="D3" s="6"/>
      <x:c r="E3" s="6"/>
      <x:c r="F3" s="6"/>
      <x:c r="G3" s="6"/>
    </x:row>
    <x:row r="4" ht="17.25" customHeight="1">
      <x:c r="A4" s="6" t="str">
        <x:v>Fill yellow columns E–G. Include units and identify model/detail files. Save and return this workbook when ready.</x:v>
      </x:c>
      <x:c r="B4" s="6"/>
      <x:c r="C4" s="6"/>
      <x:c r="D4" s="6"/>
      <x:c r="E4" s="6"/>
      <x:c r="F4" s="6"/>
      <x:c r="G4" s="6"/>
    </x:row>
    <x:row r="5" ht="17.25" customHeight="1">
      <x:c r="A5" s="6" t="str">
        <x:v>Sources: Pier Cap Design 10-9.html, matching Pier_MinTip.XML, and current BPAD. Source fingerprints and reconciled values are below.</x:v>
      </x:c>
      <x:c r="B5" s="6"/>
      <x:c r="C5" s="6"/>
      <x:c r="D5" s="6"/>
      <x:c r="E5" s="6"/>
      <x:c r="F5" s="6"/>
      <x:c r="G5" s="6"/>
    </x:row>
    <x:row r="6" ht="9" customHeight="1">
      <x:c r="A6" s="2"/>
      <x:c r="B6" s="2"/>
      <x:c r="C6" s="2"/>
      <x:c r="D6" s="2"/>
      <x:c r="E6" s="2"/>
      <x:c r="F6" s="2"/>
      <x:c r="G6" s="2"/>
    </x:row>
    <x:row r="7" ht="33" customHeight="1">
      <x:c r="A7" s="10" t="str">
        <x:v>Item</x:v>
      </x:c>
      <x:c r="B7" s="10" t="str">
        <x:v>Review topic</x:v>
      </x:c>
      <x:c r="C7" s="10" t="str">
        <x:v>Finding and current treatment</x:v>
      </x:c>
      <x:c r="D7" s="10" t="str">
        <x:v>Decision or information needed</x:v>
      </x:c>
      <x:c r="E7" s="10" t="str">
        <x:v>Your decision</x:v>
      </x:c>
      <x:c r="F7" s="10" t="str">
        <x:v>Your instructions</x:v>
      </x:c>
      <x:c r="G7" s="10" t="str">
        <x:v>New values / supporting files</x:v>
      </x:c>
    </x:row>
    <x:row r="8" ht="111" customHeight="1">
      <x:c r="A8" s="18" t="str">
        <x:v>01</x:v>
      </x:c>
      <x:c r="B8" s="19" t="str">
        <x:v>C005 / separate steel</x:v>
      </x:c>
      <x:c r="C8" s="20" t="str">
        <x:v>C005 is completely unchanged by your direction, retaining earlier steel, forces and a 3.44-in end-detail allowance. BPAD receives geometry and source references only (3-in current end-detail allowance). Current steel is kept in the separate report and this Excel review.</x:v>
      </x:c>
      <x:c r="D8" s="20" t="str">
        <x:v>No decision needed: your instructions are recorded at right. Differences remain explicit; no claim is made that C005 checks the current report cage.</x:v>
      </x:c>
      <x:c r="E8" s="29" t="str">
        <x:v>Keep as noted</x:v>
      </x:c>
      <x:c r="F8" s="29" t="str">
        <x:v>Do not update calc C005. Geometry and source references only in BPAD; keep reinforcement details in the separate pier report and Excel review. User direction, October 9, 2026.</x:v>
      </x:c>
      <x:c r="G8" s="29"/>
    </x:row>
    <x:row r="9" ht="111" customHeight="1">
      <x:c r="A9" s="25" t="str">
        <x:v>02</x:v>
      </x:c>
      <x:c r="B9" s="26" t="str">
        <x:v>Right bearing-row offset</x:v>
      </x:c>
      <x:c r="C9" s="27" t="str">
        <x:v>Exact source XML: left row Y = −10.50 in, right row Y = +10.14 in. The journal uses ±10.50 in. Right-row difference = 0.36 in. Bearing labels 1L/2L/1R/2R are correct; cap connections are 16/33 and bearing nodes are 181–184.</x:v>
      </x:c>
      <x:c r="D9" s="27" t="str">
        <x:v>Specify the intended right-row offset. Direct whether the journal or model should change and whether to rerun affected load-transfer/design results.</x:v>
      </x:c>
      <x:c r="E9" s="29"/>
      <x:c r="F9" s="29"/>
      <x:c r="G9" s="29"/>
    </x:row>
    <x:row r="10" ht="111" customHeight="1">
      <x:c r="A10" s="18" t="str">
        <x:v>03</x:v>
      </x:c>
      <x:c r="B10" s="19" t="str">
        <x:v>Pier U-bar conflicts</x:v>
      </x:c>
      <x:c r="C10" s="20" t="str">
        <x:v>Source R2/R4/R6/R8 #6 U-bars clash with pile/clearance envelopes. Ends: 90° bends, 9-in straight tails, 4.5-in inside bend diameter. The prior end-bent field-hook direction has not been assumed to resolve the pier detail.</x:v>
      </x:c>
      <x:c r="D10" s="20" t="str">
        <x:v>Specify how to handle the pier hooks, identify a revised detail, or request alternatives. Revised geometry and development/anchorage checks remain necessary to close the conflict.</x:v>
      </x:c>
      <x:c r="E10" s="29"/>
      <x:c r="F10" s="29"/>
      <x:c r="G10" s="29"/>
    </x:row>
    <x:row r="11" ht="111" customHeight="1">
      <x:c r="A11" s="25" t="str">
        <x:v>04</x:v>
      </x:c>
      <x:c r="B11" s="26" t="str">
        <x:v>Longitudinal tension reference</x:v>
      </x:c>
      <x:c r="C11" s="27" t="str">
        <x:v>The report’s N uniform-reference check requires 4.287 in² versus 3.080 in² credited (1.760 main + 1.320 side): 1.207 in² shortfall. It is labeled REFERENCE, not an actual-cage failure. Passing flexure and “0 failed checks” do not resolve it.</x:v>
      </x:c>
      <x:c r="D11" s="27" t="str">
        <x:v>Direct an actual-cage longitudinal force/load-path evaluation, a reinforcement revision, or a documented disposition of this reference shortfall.</x:v>
      </x:c>
      <x:c r="E11" s="29"/>
      <x:c r="F11" s="29"/>
      <x:c r="G11" s="29"/>
    </x:row>
    <x:row r="12" ht="111" customHeight="1">
      <x:c r="A12" s="18" t="str">
        <x:v>05</x:v>
      </x:c>
      <x:c r="B12" s="19" t="str">
        <x:v>Model and journal load inputs</x:v>
      </x:c>
      <x:c r="C12" s="20" t="str">
        <x:v>The exact local XML matches the report. Geometry, bearing spacing, effective pipe properties and superstructure DC reconcile to printed precision. Full wind inputs, local below-pad weights, transfer moments, combinations and convergence have not been certified against the current journal.</x:v>
      </x:c>
      <x:c r="D12" s="20" t="str">
        <x:v>Confirm this is the controlling pier model. Choose a full load-input comparison/update, a rerun after corrections, or retention as an explicitly identified source snapshot.</x:v>
      </x:c>
      <x:c r="E12" s="29"/>
      <x:c r="F12" s="29"/>
      <x:c r="G12" s="29"/>
    </x:row>
    <x:row r="13" ht="111" customHeight="1">
      <x:c r="A13" s="25" t="str">
        <x:v>06</x:v>
      </x:c>
      <x:c r="B13" s="26" t="str">
        <x:v>Wind, walls and old sketches</x:v>
      </x:c>
      <x:c r="C13" s="27" t="str">
        <x:v>Cap length is 230 in; the journal wind face is 231 in. The quantity sheet also retains earlier three-beam / 19-ft-3-in sketches. Wall/fin, crash-wall and cheek-wall quantities are separate from the cap report. Cap volume remains 230 ft³; pier pedestals remain 48 in.</x:v>
      </x:c>
      <x:c r="D13" s="27" t="str">
        <x:v>Confirm the intended wall/wind envelope and provide wall dimensions. Direct which wind loads, quantities and historical sketches to update, label or defer.</x:v>
      </x:c>
      <x:c r="E13" s="29"/>
      <x:c r="F13" s="29"/>
      <x:c r="G13" s="29"/>
    </x:row>
    <x:row r="14" ht="118.5" customHeight="1">
      <x:c r="A14" s="18" t="str">
        <x:v>07</x:v>
      </x:c>
      <x:c r="B14" s="19" t="str">
        <x:v>Remaining engineering checks</x:v>
      </x:c>
      <x:c r="C14" s="20" t="str">
        <x:v>Original source count: 48 pending/conditional. Service III is already N/A by your prior direction. Fatigue, development, anchorage, hoop closure, force zones, D-regions/pile-head load transfer, code/exposure basis and omitted axial/weak-axis/lateral actions remain separate.</x:v>
      </x:c>
      <x:c r="D14" s="20" t="str">
        <x:v>Specify checks to complete, defer or exclude and the criteria/details/actions to use. Do not treat independent maximum actions as a concurrent force vector.</x:v>
      </x:c>
      <x:c r="E14" s="29"/>
      <x:c r="F14" s="29"/>
      <x:c r="G14" s="29"/>
    </x:row>
    <x:row r="15" ht="111" customHeight="1">
      <x:c r="A15" s="25" t="str">
        <x:v>08</x:v>
      </x:c>
      <x:c r="B15" s="26" t="str">
        <x:v>Construction spacing and takeoff</x:v>
      </x:c>
      <x:c r="C15" s="27" t="str">
        <x:v>Adjacent-run transverse bars have 2.00 in clear, exactly the source minimum (D/C 1.000). Pile-to-bar clearance is a separate 1-in input. Gross steel is 1171.89 lb and excludes laps, closure extensions, undrawn end anchorage and waste.</x:v>
      </x:c>
      <x:c r="D15" s="27" t="str">
        <x:v>Confirm the clearance/tolerance basis and whether the actual cage needs added spacing margin. State whether to develop a fabrication-level steel takeoff with the missing allowances.</x:v>
      </x:c>
      <x:c r="E15" s="29"/>
      <x:c r="F15" s="29"/>
      <x:c r="G15" s="29"/>
    </x:row>
    <x:row r="16" ht="111" customHeight="1">
      <x:c r="A16" s="18" t="str">
        <x:v>09</x:v>
      </x:c>
      <x:c r="B16" s="19" t="str">
        <x:v>Inherited reference links</x:v>
      </x:c>
      <x:c r="C16" s="20" t="str">
        <x:v>The current journal has zero stored errors. Three preexisting LoadCombinations links are unresolved: two references to CodePage42 and one to CodePage14. They remain outside the pier source update.</x:v>
      </x:c>
      <x:c r="D16" s="20" t="str">
        <x:v>Choose repair now, defer, or address separately. Provide the intended references if known.</x:v>
      </x:c>
      <x:c r="E16" s="29"/>
      <x:c r="F16" s="29"/>
      <x:c r="G16" s="29"/>
    </x:row>
    <x:row r="17">
      <x:c r="A17" s="2"/>
      <x:c r="B17" s="2"/>
      <x:c r="C17" s="2"/>
      <x:c r="D17" s="2"/>
      <x:c r="E17" s="2"/>
      <x:c r="F17" s="2"/>
      <x:c r="G17" s="2"/>
    </x:row>
    <x:row r="18" ht="24" customHeight="1">
      <x:c r="A18" s="30" t="str">
        <x:v>Recorded design basis and reconciled data</x:v>
      </x:c>
      <x:c r="B18" s="2"/>
      <x:c r="C18" s="2"/>
      <x:c r="D18" s="2"/>
      <x:c r="E18" s="2"/>
      <x:c r="F18" s="2"/>
      <x:c r="G18" s="2"/>
    </x:row>
    <x:row r="19" ht="18.75" customHeight="1">
      <x:c r="A19" s="31" t="str">
        <x:v>Reference values below describe the supplied design. Responses belong in the yellow cells above. Source screening is not final design approval.</x:v>
      </x:c>
      <x:c r="B19" s="31"/>
      <x:c r="C19" s="31"/>
      <x:c r="D19" s="31"/>
      <x:c r="E19" s="31"/>
      <x:c r="F19" s="31"/>
      <x:c r="G19" s="31"/>
    </x:row>
    <x:row r="20">
      <x:c r="A20" s="2"/>
      <x:c r="B20" s="2"/>
      <x:c r="C20" s="2"/>
      <x:c r="D20" s="2"/>
      <x:c r="E20" s="2"/>
      <x:c r="F20" s="2"/>
      <x:c r="G20" s="2"/>
    </x:row>
    <x:row r="21" ht="27" customHeight="1">
      <x:c r="A21" s="2"/>
      <x:c r="B21" s="34" t="str">
        <x:v>Recorded item</x:v>
      </x:c>
      <x:c r="C21" s="34" t="str">
        <x:v>Current value / basis</x:v>
      </x:c>
      <x:c r="D21" s="34" t="str">
        <x:v>Units / qualification</x:v>
      </x:c>
      <x:c r="E21" s="2"/>
      <x:c r="F21" s="2"/>
      <x:c r="G21" s="2"/>
    </x:row>
    <x:row r="22" ht="49.5" customHeight="1">
      <x:c r="A22" s="2"/>
      <x:c r="B22" s="35" t="str">
        <x:v>Cap width</x:v>
      </x:c>
      <x:c r="C22" s="37" t="n">
        <x:v>48</x:v>
      </x:c>
      <x:c r="D22" s="35" t="str">
        <x:v>in; report and live project geometry agree</x:v>
      </x:c>
      <x:c r="E22" s="2"/>
      <x:c r="F22" s="2"/>
      <x:c r="G22" s="2"/>
    </x:row>
    <x:row r="23" ht="49.5" customHeight="1">
      <x:c r="A23" s="2"/>
      <x:c r="B23" s="36" t="str">
        <x:v>Cap depth</x:v>
      </x:c>
      <x:c r="C23" s="38" t="n">
        <x:v>36</x:v>
      </x:c>
      <x:c r="D23" s="36" t="str">
        <x:v>in; report and live project geometry agree</x:v>
      </x:c>
      <x:c r="E23" s="2"/>
      <x:c r="F23" s="2"/>
      <x:c r="G23" s="2"/>
    </x:row>
    <x:row r="24" ht="49.5" customHeight="1">
      <x:c r="A24" s="2"/>
      <x:c r="B24" s="35" t="str">
        <x:v>Cap length</x:v>
      </x:c>
      <x:c r="C24" s="37" t="n">
        <x:v>230</x:v>
      </x:c>
      <x:c r="D24" s="35" t="str">
        <x:v>in = 19 ft 2 in; separate from 231-in wind face</x:v>
      </x:c>
      <x:c r="E24" s="2"/>
      <x:c r="F24" s="2"/>
      <x:c r="G24" s="2"/>
    </x:row>
    <x:row r="25" ht="49.5" customHeight="1">
      <x:c r="A25" s="2"/>
      <x:c r="B25" s="36" t="str">
        <x:v>Pile arrangement</x:v>
      </x:c>
      <x:c r="C25" s="36" t="str">
        <x:v>Four 20-in pipe piles at 60-in centers</x:v>
      </x:c>
      <x:c r="D25" s="36" t="str">
        <x:v>Cap-end center stations: 25, 85, 145, 205 in</x:v>
      </x:c>
      <x:c r="E25" s="2"/>
      <x:c r="F25" s="2"/>
      <x:c r="G25" s="2"/>
    </x:row>
    <x:row r="26" ht="49.5" customHeight="1">
      <x:c r="A26" s="2"/>
      <x:c r="B26" s="35" t="str">
        <x:v>End face allowance</x:v>
      </x:c>
      <x:c r="C26" s="37" t="n">
        <x:v>15</x:v>
      </x:c>
      <x:c r="D26" s="35" t="str">
        <x:v>in = 9-in edge + 3-in tolerance + 3-in detail allowance</x:v>
      </x:c>
      <x:c r="E26" s="2"/>
      <x:c r="F26" s="2"/>
      <x:c r="G26" s="2"/>
    </x:row>
    <x:row r="27" ht="49.5" customHeight="1">
      <x:c r="A27" s="2"/>
      <x:c r="B27" s="36" t="str">
        <x:v>Pile embedment / covers</x:v>
      </x:c>
      <x:c r="C27" s="36" t="str">
        <x:v>12-in embedment; 3-in covers</x:v>
      </x:c>
      <x:c r="D27" s="36" t="str">
        <x:v>Physical embedment and top/bottom/side clear covers</x:v>
      </x:c>
      <x:c r="E27" s="2"/>
      <x:c r="F27" s="2"/>
      <x:c r="G27" s="2"/>
    </x:row>
    <x:row r="28" ht="49.5" customHeight="1">
      <x:c r="A28" s="2"/>
      <x:c r="B28" s="35" t="str">
        <x:v>Top main steel</x:v>
      </x:c>
      <x:c r="C28" s="35" t="str">
        <x:v>4 #6 continuous</x:v>
      </x:c>
      <x:c r="D28" s="35" t="str">
        <x:v>One row; 1.76 in²</x:v>
      </x:c>
      <x:c r="E28" s="2"/>
      <x:c r="F28" s="2"/>
      <x:c r="G28" s="2"/>
    </x:row>
    <x:row r="29" ht="49.5" customHeight="1">
      <x:c r="A29" s="2"/>
      <x:c r="B29" s="36" t="str">
        <x:v>At-pile bottom steel</x:v>
      </x:c>
      <x:c r="C29" s="36" t="str">
        <x:v>4 #9 continuous</x:v>
      </x:c>
      <x:c r="D29" s="36" t="str">
        <x:v>Two bars each side of pile envelope; 4.00 in²</x:v>
      </x:c>
      <x:c r="E29" s="2"/>
      <x:c r="F29" s="2"/>
      <x:c r="G29" s="2"/>
    </x:row>
    <x:row r="30" ht="49.5" customHeight="1">
      <x:c r="A30" s="2"/>
      <x:c r="B30" s="35" t="str">
        <x:v>Between-pile bottom</x:v>
      </x:c>
      <x:c r="C30" s="35" t="str">
        <x:v>4 #9 + 4 ADDITIONAL #6 hooked bars</x:v>
      </x:c>
      <x:c r="D30" s="35" t="str">
        <x:v>Combined main area 5.76 in²; added bars at 6-in pitch</x:v>
      </x:c>
      <x:c r="E30" s="2"/>
      <x:c r="F30" s="2"/>
      <x:c r="G30" s="2"/>
    </x:row>
    <x:row r="31" ht="49.5" customHeight="1">
      <x:c r="A31" s="2"/>
      <x:c r="B31" s="36" t="str">
        <x:v>Skin per side</x:v>
      </x:c>
      <x:c r="C31" s="36" t="str">
        <x:v>3 #6 continuous</x:v>
      </x:c>
      <x:c r="D31" s="36" t="str">
        <x:v>1.32 in² per side; distinct from main flexural areas</x:v>
      </x:c>
      <x:c r="E31" s="2"/>
      <x:c r="F31" s="2"/>
      <x:c r="G31" s="2"/>
    </x:row>
    <x:row r="32" ht="49.5" customHeight="1">
      <x:c r="A32" s="2"/>
      <x:c r="B32" s="35" t="str">
        <x:v>Transverse schedule</x:v>
      </x:c>
      <x:c r="C32" s="35" t="str">
        <x:v>19 closed #6 hoops + 16 #6 pile U-bars</x:v>
      </x:c>
      <x:c r="D32" s="35" t="str">
        <x:v>Nine runs; nominal 9-in pitch with fitted end bars; total 35</x:v>
      </x:c>
      <x:c r="E32" s="2"/>
      <x:c r="F32" s="2"/>
      <x:c r="G32" s="2"/>
    </x:row>
    <x:row r="33" ht="49.5" customHeight="1">
      <x:c r="A33" s="2"/>
      <x:c r="B33" s="36" t="str">
        <x:v>Concrete gross volume</x:v>
      </x:c>
      <x:c r="C33" s="38" t="n">
        <x:v>230</x:v>
      </x:c>
      <x:c r="D33" s="36" t="str">
        <x:v>ft³; unchanged; excludes walls/pedestals and pile deductions</x:v>
      </x:c>
      <x:c r="E33" s="2"/>
      <x:c r="F33" s="2"/>
      <x:c r="G33" s="2"/>
    </x:row>
    <x:row r="34" ht="49.5" customHeight="1">
      <x:c r="A34" s="2"/>
      <x:c r="B34" s="35" t="str">
        <x:v>Steel gross estimate</x:v>
      </x:c>
      <x:c r="C34" s="39" t="n">
        <x:v>1171.89</x:v>
      </x:c>
      <x:c r="D34" s="35" t="str">
        <x:v>lb; source quantity excludes laps/closures/undrawn anchorage/waste</x:v>
      </x:c>
      <x:c r="E34" s="2"/>
      <x:c r="F34" s="2"/>
      <x:c r="G34" s="2"/>
    </x:row>
    <x:row r="35" ht="49.5" customHeight="1">
      <x:c r="A35" s="2"/>
      <x:c r="B35" s="36" t="str">
        <x:v>Strength M− / M+ pile / M+ span</x:v>
      </x:c>
      <x:c r="C35" s="36" t="str">
        <x:v>33.65 / 163.18 / 369.38 kip-ft</x:v>
      </x:c>
      <x:c r="D35" s="36" t="str">
        <x:v>Independent factored maxima; not one concurrent vector</x:v>
      </x:c>
      <x:c r="E35" s="2"/>
      <x:c r="F35" s="2"/>
      <x:c r="G35" s="2"/>
    </x:row>
    <x:row r="36" ht="49.5" customHeight="1">
      <x:c r="A36" s="2"/>
      <x:c r="B36" s="35" t="str">
        <x:v>Strength shear / torsion</x:v>
      </x:c>
      <x:c r="C36" s="35" t="str">
        <x:v>218.27 kip / 24.97 kip-ft</x:v>
      </x:c>
      <x:c r="D36" s="35" t="str">
        <x:v>Both shear zones use 218.27 kip</x:v>
      </x:c>
      <x:c r="E36" s="2"/>
      <x:c r="F36" s="2"/>
      <x:c r="G36" s="2"/>
    </x:row>
    <x:row r="37" ht="49.5" customHeight="1">
      <x:c r="A37" s="2"/>
      <x:c r="B37" s="36" t="str">
        <x:v>Service I N / P / B</x:v>
      </x:c>
      <x:c r="C37" s="36" t="str">
        <x:v>20.83 / 125.69 / 315.31 kip-ft</x:v>
      </x:c>
      <x:c r="D37" s="36" t="str">
        <x:v>Service III N/A by prior user direction; fatigue separate</x:v>
      </x:c>
      <x:c r="E37" s="2"/>
      <x:c r="F37" s="2"/>
      <x:c r="G37" s="2"/>
    </x:row>
    <x:row r="38" ht="49.5" customHeight="1">
      <x:c r="A38" s="2"/>
      <x:c r="B38" s="35" t="str">
        <x:v>Bearing stations</x:v>
      </x:c>
      <x:c r="C38" s="35" t="str">
        <x:v>63.50 / 166.49 in from cap end</x:v>
      </x:c>
      <x:c r="D38" s="35" t="str">
        <x:v>XML stations 38.50 / 141.49 in + 25-in datum shift</x:v>
      </x:c>
      <x:c r="E38" s="2"/>
      <x:c r="F38" s="2"/>
      <x:c r="G38" s="2"/>
    </x:row>
    <x:row r="39" ht="49.5" customHeight="1">
      <x:c r="A39" s="2"/>
      <x:c r="B39" s="36" t="str">
        <x:v>Effective pipe wall</x:v>
      </x:c>
      <x:c r="C39" s="40" t="n">
        <x:v>0.475</x:v>
      </x:c>
      <x:c r="D39" s="36" t="str">
        <x:v>in = 0.625 − 0.150; XML prints 0.48 in</x:v>
      </x:c>
      <x:c r="E39" s="2"/>
      <x:c r="F39" s="2"/>
      <x:c r="G39" s="2"/>
    </x:row>
    <x:row r="40" ht="49.5" customHeight="1">
      <x:c r="A40" s="2"/>
      <x:c r="B40" s="35" t="str">
        <x:v>Pipe area / inertia</x:v>
      </x:c>
      <x:c r="C40" s="35" t="str">
        <x:v>29.14 in² / 1389.26 in⁴</x:v>
      </x:c>
      <x:c r="D40" s="35" t="str">
        <x:v>XML agrees with 0.475-in effective section to displayed precision</x:v>
      </x:c>
      <x:c r="E40" s="2"/>
      <x:c r="F40" s="2"/>
      <x:c r="G40" s="2"/>
    </x:row>
    <x:row r="41" ht="49.5" customHeight="1">
      <x:c r="A41" s="2"/>
      <x:c r="B41" s="36" t="str">
        <x:v>Superstructure DC</x:v>
      </x:c>
      <x:c r="C41" s="36" t="str">
        <x:v>92.07 kip each left; 89.97 kip each right</x:v>
      </x:c>
      <x:c r="D41" s="36" t="str">
        <x:v>Journal agrees to 0.01 kip; full load audit remains Item 05</x:v>
      </x:c>
      <x:c r="E41" s="2"/>
      <x:c r="F41" s="2"/>
      <x:c r="G41" s="2"/>
    </x:row>
    <x:row r="42" ht="49.5" customHeight="1">
      <x:c r="A42" s="2"/>
      <x:c r="B42" s="35" t="str">
        <x:v>Source check summary</x:v>
      </x:c>
      <x:c r="C42" s="35" t="str">
        <x:v>0 failed; 48 pending/conditional; max D/C 1.000</x:v>
      </x:c>
      <x:c r="D42" s="35" t="str">
        <x:v>Historical report summary, not rerun after Service III disposition</x:v>
      </x:c>
      <x:c r="E42" s="2"/>
      <x:c r="F42" s="2"/>
      <x:c r="G42" s="2"/>
    </x:row>
    <x:row r="43" ht="68.25" customHeight="1">
      <x:c r="A43" s="2"/>
      <x:c r="B43" s="36" t="str">
        <x:v>Report SHA-256</x:v>
      </x:c>
      <x:c r="C43" s="36" t="str">
        <x:v>806a47bb50962827f5fd3e6fdd4c42c8b41851bddd23ff3948f377fe6a48b7b2</x:v>
      </x:c>
      <x:c r="D43" s="36" t="str">
        <x:v>Pier Cap Design 10-9.html; original in Downloads</x:v>
      </x:c>
      <x:c r="E43" s="2"/>
      <x:c r="F43" s="2"/>
      <x:c r="G43" s="2"/>
    </x:row>
    <x:row r="44" ht="68.25" customHeight="1">
      <x:c r="A44" s="2"/>
      <x:c r="B44" s="35" t="str">
        <x:v>Matching XML SHA-256</x:v>
      </x:c>
      <x:c r="C44" s="35" t="str">
        <x:v>cb094424ed16e60b16957ed84a62aea21533fb61671c58a27ca73a997eaf70e4</x:v>
      </x:c>
      <x:c r="D44" s="35" t="str">
        <x:v>Pier_MinTip.XML; exact local file matches report</x:v>
      </x:c>
      <x:c r="E44" s="2"/>
      <x:c r="F44" s="2"/>
      <x:c r="G44" s="2"/>
    </x:row>
    <x:row r="45" ht="68.25" customHeight="1">
      <x:c r="A45" s="2"/>
      <x:c r="B45" s="36" t="str">
        <x:v>Journal base SHA-256</x:v>
      </x:c>
      <x:c r="C45" s="36" t="str">
        <x:v>4cdc73c485443fd22aaa77eff17ea1faeec30f9ba143be881b5d6c9676189625</x:v>
      </x:c>
      <x:c r="D45" s="36" t="str">
        <x:v>Actual journal at start; preserved intervening user changes</x:v>
      </x:c>
      <x:c r="E45" s="2"/>
      <x:c r="F45" s="2"/>
      <x:c r="G45" s="2"/>
    </x:row>
    <x:row r="46" ht="68.25" customHeight="1">
      <x:c r="A46" s="2"/>
      <x:c r="B46" s="35" t="str">
        <x:v>Journal task</x:v>
      </x:c>
      <x:c r="C46" s="35" t="str">
        <x:v>T005 — geometry and source references only</x:v>
      </x:c>
      <x:c r="D46" s="35" t="str">
        <x:v>C:/github/D2MPDB/journal/D2_I95_Project_Journal.bpad</x:v>
      </x:c>
      <x:c r="E46" s="2"/>
      <x:c r="F46" s="2"/>
      <x:c r="G46" s="2"/>
    </x:row>
    <x:row r="47" ht="68.25" customHeight="1">
      <x:c r="A47" s="2"/>
      <x:c r="B47" s="36" t="str">
        <x:v>Preservation</x:v>
      </x:c>
      <x:c r="C47" s="36" t="str">
        <x:v>Six bounded components; C005 entirely unchanged</x:v>
      </x:c>
      <x:c r="D47" s="36" t="str">
        <x:v>Existing material interfaces, end-bent record, resources and 31 relative PDF references retained</x:v>
      </x:c>
      <x:c r="E47" s="2"/>
      <x:c r="F47" s="2"/>
      <x:c r="G47" s="2"/>
    </x:row>
    <x:row r="48" ht="68.25" customHeight="1">
      <x:c r="A48" s="2"/>
      <x:c r="B48" s="35" t="str">
        <x:v>Acceptance scope</x:v>
      </x:c>
      <x:c r="C48" s="35" t="str">
        <x:v>Geometry / source references; steel separate</x:v>
      </x:c>
      <x:c r="D48" s="35" t="str">
        <x:v>C005 unchanged. Final structural adequacy, corrected U geometry and full project coherence remain open</x:v>
      </x:c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</x:sheetData>
  <x:dataValidations count="1">
    <x:dataValidation type="list" sqref="E8:E16">
      <x:formula1>"Update,Keep as noted,Defer,Discuss,Not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5156bbf86d4c7d"/>
  </x:tableParts>
</x:worksheet>
</file>