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hs\Desktop\D2 MPDB\outputs\pier-coherence-20261009\"/>
    </mc:Choice>
  </mc:AlternateContent>
  <xr:revisionPtr revIDLastSave="0" documentId="13_ncr:1_{C1C865FC-DE80-45AD-9C15-2A165426CF39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Coherence review" sheetId="1" r:id="rId1"/>
  </sheets>
  <calcPr calcId="0"/>
</workbook>
</file>

<file path=xl/sharedStrings.xml><?xml version="1.0" encoding="utf-8"?>
<sst xmlns="http://schemas.openxmlformats.org/spreadsheetml/2006/main" count="144" uniqueCount="138">
  <si>
    <t>Pier cap coherence review</t>
  </si>
  <si>
    <t>D2 I-95 Pedestrian Bridge • October 9, 2026 • BPAD: geometry and source references only. Steel stays in this review and the report.</t>
  </si>
  <si>
    <t>Fill yellow columns E–G. Include units and identify model/detail files. Save and return this workbook when ready.</t>
  </si>
  <si>
    <t>Sources: Pier Cap Design 10-9.html, matching Pier_MinTip.XML, and current BPAD. Source fingerprints and reconciled values are below.</t>
  </si>
  <si>
    <t>Item</t>
  </si>
  <si>
    <t>Review topic</t>
  </si>
  <si>
    <t>Finding and current treatment</t>
  </si>
  <si>
    <t>Decision or information needed</t>
  </si>
  <si>
    <t>Your decision</t>
  </si>
  <si>
    <t>Your instructions</t>
  </si>
  <si>
    <t>New values / supporting files</t>
  </si>
  <si>
    <t>01</t>
  </si>
  <si>
    <t>C005 / separate steel</t>
  </si>
  <si>
    <t>C005 is completely unchanged by your direction, retaining earlier steel, forces and a 3.44-in end-detail allowance. BPAD receives geometry and source references only (3-in current end-detail allowance). Current steel is kept in the separate report and this Excel review.</t>
  </si>
  <si>
    <t>No decision needed: your instructions are recorded at right. Differences remain explicit; no claim is made that C005 checks the current report cage.</t>
  </si>
  <si>
    <t>Keep as noted</t>
  </si>
  <si>
    <t>Do not update calc C005. Geometry and source references only in BPAD; keep reinforcement details in the separate pier report and Excel review. User direction, October 9, 2026.</t>
  </si>
  <si>
    <t>02</t>
  </si>
  <si>
    <t>Right bearing-row offset</t>
  </si>
  <si>
    <t>Exact source XML: left row Y = −10.50 in, right row Y = +10.14 in. The journal uses ±10.50 in. Right-row difference = 0.36 in. Bearing labels 1L/2L/1R/2R are correct; cap connections are 16/33 and bearing nodes are 181–184.</t>
  </si>
  <si>
    <t>Specify the intended right-row offset. Direct whether the journal or model should change and whether to rerun affected load-transfer/design results.</t>
  </si>
  <si>
    <t>03</t>
  </si>
  <si>
    <t>Pier U-bar conflicts</t>
  </si>
  <si>
    <t>Source R2/R4/R6/R8 #6 U-bars clash with pile/clearance envelopes. Ends: 90° bends, 9-in straight tails, 4.5-in inside bend diameter. The prior end-bent field-hook direction has not been assumed to resolve the pier detail.</t>
  </si>
  <si>
    <t>Specify how to handle the pier hooks, identify a revised detail, or request alternatives. Revised geometry and development/anchorage checks remain necessary to close the conflict.</t>
  </si>
  <si>
    <t>04</t>
  </si>
  <si>
    <t>Longitudinal tension reference</t>
  </si>
  <si>
    <t>The report’s N uniform-reference check requires 4.287 in² versus 3.080 in² credited (1.760 main + 1.320 side): 1.207 in² shortfall. It is labeled REFERENCE, not an actual-cage failure. Passing flexure and “0 failed checks” do not resolve it.</t>
  </si>
  <si>
    <t>Direct an actual-cage longitudinal force/load-path evaluation, a reinforcement revision, or a documented disposition of this reference shortfall.</t>
  </si>
  <si>
    <t>05</t>
  </si>
  <si>
    <t>Model and journal load inputs</t>
  </si>
  <si>
    <t>The exact local XML matches the report. Geometry, bearing spacing, effective pipe properties and superstructure DC reconcile to printed precision. Full wind inputs, local below-pad weights, transfer moments, combinations and convergence have not been certified against the current journal.</t>
  </si>
  <si>
    <t>Confirm this is the controlling pier model. Choose a full load-input comparison/update, a rerun after corrections, or retention as an explicitly identified source snapshot.</t>
  </si>
  <si>
    <t>06</t>
  </si>
  <si>
    <t>Wind, walls and old sketches</t>
  </si>
  <si>
    <t>Cap length is 230 in; the journal wind face is 231 in. The quantity sheet also retains earlier three-beam / 19-ft-3-in sketches. Wall/fin, crash-wall and cheek-wall quantities are separate from the cap report. Cap volume remains 230 ft³; pier pedestals remain 48 in.</t>
  </si>
  <si>
    <t>Confirm the intended wall/wind envelope and provide wall dimensions. Direct which wind loads, quantities and historical sketches to update, label or defer.</t>
  </si>
  <si>
    <t>07</t>
  </si>
  <si>
    <t>Remaining engineering checks</t>
  </si>
  <si>
    <t>Original source count: 48 pending/conditional. Service III is already N/A by your prior direction. Fatigue, development, anchorage, hoop closure, force zones, D-regions/pile-head load transfer, code/exposure basis and omitted axial/weak-axis/lateral actions remain separate.</t>
  </si>
  <si>
    <t>Specify checks to complete, defer or exclude and the criteria/details/actions to use. Do not treat independent maximum actions as a concurrent force vector.</t>
  </si>
  <si>
    <t>08</t>
  </si>
  <si>
    <t>Construction spacing and takeoff</t>
  </si>
  <si>
    <t>Adjacent-run transverse bars have 2.00 in clear, exactly the source minimum (D/C 1.000). Pile-to-bar clearance is a separate 1-in input. Gross steel is 1171.89 lb and excludes laps, closure extensions, undrawn end anchorage and waste.</t>
  </si>
  <si>
    <t>Confirm the clearance/tolerance basis and whether the actual cage needs added spacing margin. State whether to develop a fabrication-level steel takeoff with the missing allowances.</t>
  </si>
  <si>
    <t>09</t>
  </si>
  <si>
    <t>Inherited reference links</t>
  </si>
  <si>
    <t>The current journal has zero stored errors. Three preexisting LoadCombinations links are unresolved: two references to CodePage42 and one to CodePage14. They remain outside the pier source update.</t>
  </si>
  <si>
    <t>Choose repair now, defer, or address separately. Provide the intended references if known.</t>
  </si>
  <si>
    <t>Recorded design basis and reconciled data</t>
  </si>
  <si>
    <t>Reference values below describe the supplied design. Responses belong in the yellow cells above. Source screening is not final design approval.</t>
  </si>
  <si>
    <t>Recorded item</t>
  </si>
  <si>
    <t>Current value / basis</t>
  </si>
  <si>
    <t>Units / qualification</t>
  </si>
  <si>
    <t>Cap width</t>
  </si>
  <si>
    <t>in; report and live project geometry agree</t>
  </si>
  <si>
    <t>Cap depth</t>
  </si>
  <si>
    <t>Cap length</t>
  </si>
  <si>
    <t>in = 19 ft 2 in; separate from 231-in wind face</t>
  </si>
  <si>
    <t>Pile arrangement</t>
  </si>
  <si>
    <t>Four 20-in pipe piles at 60-in centers</t>
  </si>
  <si>
    <t>Cap-end center stations: 25, 85, 145, 205 in</t>
  </si>
  <si>
    <t>End face allowance</t>
  </si>
  <si>
    <t>in = 9-in edge + 3-in tolerance + 3-in detail allowance</t>
  </si>
  <si>
    <t>Pile embedment / covers</t>
  </si>
  <si>
    <t>12-in embedment; 3-in covers</t>
  </si>
  <si>
    <t>Physical embedment and top/bottom/side clear covers</t>
  </si>
  <si>
    <t>Top main steel</t>
  </si>
  <si>
    <t>4 #6 continuous</t>
  </si>
  <si>
    <t>One row; 1.76 in²</t>
  </si>
  <si>
    <t>At-pile bottom steel</t>
  </si>
  <si>
    <t>4 #9 continuous</t>
  </si>
  <si>
    <t>Two bars each side of pile envelope; 4.00 in²</t>
  </si>
  <si>
    <t>Between-pile bottom</t>
  </si>
  <si>
    <t>4 #9 + 4 ADDITIONAL #6 hooked bars</t>
  </si>
  <si>
    <t>Combined main area 5.76 in²; added bars at 6-in pitch</t>
  </si>
  <si>
    <t>Skin per side</t>
  </si>
  <si>
    <t>3 #6 continuous</t>
  </si>
  <si>
    <t>1.32 in² per side; distinct from main flexural areas</t>
  </si>
  <si>
    <t>Transverse schedule</t>
  </si>
  <si>
    <t>19 closed #6 hoops + 16 #6 pile U-bars</t>
  </si>
  <si>
    <t>Nine runs; nominal 9-in pitch with fitted end bars; total 35</t>
  </si>
  <si>
    <t>Concrete gross volume</t>
  </si>
  <si>
    <t>ft³; unchanged; excludes walls/pedestals and pile deductions</t>
  </si>
  <si>
    <t>Steel gross estimate</t>
  </si>
  <si>
    <t>lb; source quantity excludes laps/closures/undrawn anchorage/waste</t>
  </si>
  <si>
    <t>Strength M− / M+ pile / M+ span</t>
  </si>
  <si>
    <t>33.65 / 163.18 / 369.38 kip-ft</t>
  </si>
  <si>
    <t>Independent factored maxima; not one concurrent vector</t>
  </si>
  <si>
    <t>Strength shear / torsion</t>
  </si>
  <si>
    <t>218.27 kip / 24.97 kip-ft</t>
  </si>
  <si>
    <t>Both shear zones use 218.27 kip</t>
  </si>
  <si>
    <t>Service I N / P / B</t>
  </si>
  <si>
    <t>20.83 / 125.69 / 315.31 kip-ft</t>
  </si>
  <si>
    <t>Service III N/A by prior user direction; fatigue separate</t>
  </si>
  <si>
    <t>Bearing stations</t>
  </si>
  <si>
    <t>63.50 / 166.49 in from cap end</t>
  </si>
  <si>
    <t>XML stations 38.50 / 141.49 in + 25-in datum shift</t>
  </si>
  <si>
    <t>Effective pipe wall</t>
  </si>
  <si>
    <t>in = 0.625 − 0.150; XML prints 0.48 in</t>
  </si>
  <si>
    <t>Pipe area / inertia</t>
  </si>
  <si>
    <t>29.14 in² / 1389.26 in⁴</t>
  </si>
  <si>
    <t>XML agrees with 0.475-in effective section to displayed precision</t>
  </si>
  <si>
    <t>Superstructure DC</t>
  </si>
  <si>
    <t>92.07 kip each left; 89.97 kip each right</t>
  </si>
  <si>
    <t>Journal agrees to 0.01 kip; full load audit remains Item 05</t>
  </si>
  <si>
    <t>Source check summary</t>
  </si>
  <si>
    <t>0 failed; 48 pending/conditional; max D/C 1.000</t>
  </si>
  <si>
    <t>Historical report summary, not rerun after Service III disposition</t>
  </si>
  <si>
    <t>Report SHA-256</t>
  </si>
  <si>
    <t>806a47bb50962827f5fd3e6fdd4c42c8b41851bddd23ff3948f377fe6a48b7b2</t>
  </si>
  <si>
    <t>Pier Cap Design 10-9.html; original in Downloads</t>
  </si>
  <si>
    <t>Matching XML SHA-256</t>
  </si>
  <si>
    <t>cb094424ed16e60b16957ed84a62aea21533fb61671c58a27ca73a997eaf70e4</t>
  </si>
  <si>
    <t>Pier_MinTip.XML; exact local file matches report</t>
  </si>
  <si>
    <t>Journal base SHA-256</t>
  </si>
  <si>
    <t>4cdc73c485443fd22aaa77eff17ea1faeec30f9ba143be881b5d6c9676189625</t>
  </si>
  <si>
    <t>Actual journal at start; preserved intervening user changes</t>
  </si>
  <si>
    <t>Journal task</t>
  </si>
  <si>
    <t>T005 — geometry and source references only</t>
  </si>
  <si>
    <t>C:/github/D2MPDB/journal/D2_I95_Project_Journal.bpad</t>
  </si>
  <si>
    <t>Preservation</t>
  </si>
  <si>
    <t>Six bounded components; C005 entirely unchanged</t>
  </si>
  <si>
    <t>Existing material interfaces, end-bent record, resources and 31 relative PDF references retained</t>
  </si>
  <si>
    <t>Acceptance scope</t>
  </si>
  <si>
    <t>Geometry / source references; steel separate</t>
  </si>
  <si>
    <t>C005 unchanged. Final structural adequacy, corrected U geometry and full project coherence remain open</t>
  </si>
  <si>
    <t>Discuss</t>
  </si>
  <si>
    <t>I need to correct the FBMP model I think there is a typo in it. I'll update the model and reupload the report.</t>
  </si>
  <si>
    <t>U bars tails can be field bent to accommodate a potential clash</t>
  </si>
  <si>
    <t>Explain to me in chat what the N uniform check is all about</t>
  </si>
  <si>
    <t>Will need to provide an update cap design report as the latest.</t>
  </si>
  <si>
    <t>Use the cap length from the report</t>
  </si>
  <si>
    <t>Update</t>
  </si>
  <si>
    <t>Defer</t>
  </si>
  <si>
    <t>Leave as is</t>
  </si>
  <si>
    <t>Leave as is we can deal with this issue in shops later</t>
  </si>
  <si>
    <t>repair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</si>
</sst>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name val="Carlito"/>
    </font>
    <font>
      <sz val="11"/>
      <color rgb="FF203247"/>
      <name val="Arial"/>
    </font>
    <font>
      <b/>
      <sz val="17"/>
      <color rgb="FF203247"/>
      <name val="Arial"/>
    </font>
    <font>
      <sz val="11"/>
      <color rgb="FF536578"/>
      <name val="Arial"/>
    </font>
    <font>
      <b/>
      <sz val="11"/>
      <color rgb="FFFFFFFF"/>
      <name val="Arial"/>
    </font>
    <font>
      <b/>
      <sz val="11"/>
      <color rgb="FF203247"/>
      <name val="Arial"/>
    </font>
    <font>
      <sz val="11"/>
      <color rgb="FF1F4E79"/>
      <name val="Arial"/>
    </font>
    <font>
      <b/>
      <sz val="15"/>
      <color rgb="FF203247"/>
      <name val="Arial"/>
    </font>
    <font>
      <i/>
      <sz val="11"/>
      <color rgb="FF536578"/>
      <name val="Arial"/>
    </font>
  </fonts>
  <fills count="7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6EF"/>
      </patternFill>
    </fill>
  </fills>
  <borders count="4">
    <border>
      <left/>
      <right/>
      <top/>
      <bottom/>
      <diagonal/>
    </border>
    <border>
      <left/>
      <right/>
      <top/>
      <bottom style="thin">
        <color rgb="FF8B9BAD"/>
      </bottom>
      <diagonal/>
    </border>
    <border>
      <left/>
      <right/>
      <top/>
      <bottom style="thin">
        <color rgb="FFD8E1E9"/>
      </bottom>
      <diagonal/>
    </border>
    <border>
      <left/>
      <right/>
      <top/>
      <bottom style="thin">
        <color rgb="FFE2E8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6" borderId="0" xfId="0" applyFont="1" applyFill="1" applyAlignment="1">
      <alignment vertical="center" wrapText="1"/>
    </xf>
    <xf numFmtId="0" fontId="1" fillId="3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1" fontId="1" fillId="3" borderId="3" xfId="0" applyNumberFormat="1" applyFont="1" applyFill="1" applyBorder="1" applyAlignment="1">
      <alignment vertical="top" wrapText="1"/>
    </xf>
    <xf numFmtId="1" fontId="1" fillId="4" borderId="3" xfId="0" applyNumberFormat="1" applyFont="1" applyFill="1" applyBorder="1" applyAlignment="1">
      <alignment vertical="top" wrapText="1"/>
    </xf>
    <xf numFmtId="2" fontId="1" fillId="3" borderId="3" xfId="0" applyNumberFormat="1" applyFont="1" applyFill="1" applyBorder="1" applyAlignment="1">
      <alignment vertical="top" wrapText="1"/>
    </xf>
    <xf numFmtId="164" fontId="1" fillId="4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erCoherenceResponses" displayName="PierCoherenceResponses" ref="A7:G16" totalsRowShown="0">
  <autoFilter ref="A7:G16" xr:uid="{00000000-0009-0000-0100-000001000000}"/>
  <tableColumns count="7">
    <tableColumn id="1" xr3:uid="{00000000-0010-0000-0000-000001000000}" name="Item"/>
    <tableColumn id="2" xr3:uid="{00000000-0010-0000-0000-000002000000}" name="Review topic"/>
    <tableColumn id="3" xr3:uid="{00000000-0010-0000-0000-000003000000}" name="Finding and current treatment"/>
    <tableColumn id="4" xr3:uid="{00000000-0010-0000-0000-000004000000}" name="Decision or information needed"/>
    <tableColumn id="5" xr3:uid="{00000000-0010-0000-0000-000005000000}" name="Your decision"/>
    <tableColumn id="6" xr3:uid="{00000000-0010-0000-0000-000006000000}" name="Your instructions"/>
    <tableColumn id="7" xr3:uid="{00000000-0010-0000-0000-000007000000}" name="New values / supporting f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G61"/>
  <sheetViews>
    <sheetView showGridLines="0" tabSelected="1" topLeftCell="A13" workbookViewId="0">
      <selection activeCell="F16" sqref="F16"/>
    </sheetView>
  </sheetViews>
  <sheetFormatPr defaultRowHeight="13.5"/>
  <cols>
    <col min="1" max="1" width="5.75" customWidth="1"/>
    <col min="2" max="2" width="19.75" customWidth="1"/>
    <col min="3" max="3" width="48.25" customWidth="1"/>
    <col min="4" max="4" width="34.75" customWidth="1"/>
    <col min="5" max="5" width="18" customWidth="1"/>
    <col min="6" max="6" width="45" customWidth="1"/>
    <col min="7" max="7" width="31" customWidth="1"/>
  </cols>
  <sheetData>
    <row r="1" spans="1:7" ht="10.5" customHeight="1">
      <c r="A1" s="1"/>
      <c r="B1" s="1"/>
      <c r="C1" s="1"/>
      <c r="D1" s="1"/>
      <c r="E1" s="1"/>
      <c r="F1" s="1"/>
      <c r="G1" s="1"/>
    </row>
    <row r="2" spans="1:7" ht="24" customHeight="1">
      <c r="A2" s="2" t="s">
        <v>0</v>
      </c>
      <c r="B2" s="3"/>
      <c r="C2" s="3"/>
      <c r="D2" s="3"/>
      <c r="E2" s="3"/>
      <c r="F2" s="3"/>
      <c r="G2" s="3"/>
    </row>
    <row r="3" spans="1:7" ht="17.25" customHeight="1">
      <c r="A3" s="4" t="s">
        <v>1</v>
      </c>
      <c r="B3" s="4"/>
      <c r="C3" s="4"/>
      <c r="D3" s="4"/>
      <c r="E3" s="4"/>
      <c r="F3" s="4"/>
      <c r="G3" s="4"/>
    </row>
    <row r="4" spans="1:7" ht="17.25" customHeight="1">
      <c r="A4" s="4" t="s">
        <v>2</v>
      </c>
      <c r="B4" s="4"/>
      <c r="C4" s="4"/>
      <c r="D4" s="4"/>
      <c r="E4" s="4"/>
      <c r="F4" s="4"/>
      <c r="G4" s="4"/>
    </row>
    <row r="5" spans="1:7" ht="17.25" customHeight="1">
      <c r="A5" s="4" t="s">
        <v>3</v>
      </c>
      <c r="B5" s="4"/>
      <c r="C5" s="4"/>
      <c r="D5" s="4"/>
      <c r="E5" s="4"/>
      <c r="F5" s="4"/>
      <c r="G5" s="4"/>
    </row>
    <row r="6" spans="1:7" ht="9" customHeight="1">
      <c r="A6" s="1"/>
      <c r="B6" s="1"/>
      <c r="C6" s="1"/>
      <c r="D6" s="1"/>
      <c r="E6" s="1"/>
      <c r="F6" s="1"/>
      <c r="G6" s="1"/>
    </row>
    <row r="7" spans="1:7" ht="33" customHeight="1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spans="1:7" ht="111" customHeight="1">
      <c r="A8" s="6" t="s">
        <v>11</v>
      </c>
      <c r="B8" s="7" t="s">
        <v>12</v>
      </c>
      <c r="C8" s="8" t="s">
        <v>13</v>
      </c>
      <c r="D8" s="8" t="s">
        <v>14</v>
      </c>
      <c r="E8" s="12" t="s">
        <v>15</v>
      </c>
      <c r="F8" s="12" t="s">
        <v>16</v>
      </c>
      <c r="G8" s="12"/>
    </row>
    <row r="9" spans="1:7" ht="111" customHeight="1">
      <c r="A9" s="9" t="s">
        <v>17</v>
      </c>
      <c r="B9" s="10" t="s">
        <v>18</v>
      </c>
      <c r="C9" s="11" t="s">
        <v>19</v>
      </c>
      <c r="D9" s="11" t="s">
        <v>20</v>
      </c>
      <c r="E9" s="12" t="s">
        <v>127</v>
      </c>
      <c r="F9" s="12" t="s">
        <v>128</v>
      </c>
      <c r="G9" s="12"/>
    </row>
    <row r="10" spans="1:7" ht="111" customHeight="1">
      <c r="A10" s="6" t="s">
        <v>21</v>
      </c>
      <c r="B10" s="7" t="s">
        <v>22</v>
      </c>
      <c r="C10" s="8" t="s">
        <v>23</v>
      </c>
      <c r="D10" s="8" t="s">
        <v>24</v>
      </c>
      <c r="E10" s="12" t="s">
        <v>15</v>
      </c>
      <c r="F10" s="12" t="s">
        <v>129</v>
      </c>
      <c r="G10" s="12"/>
    </row>
    <row r="11" spans="1:7" ht="111" customHeight="1">
      <c r="A11" s="9" t="s">
        <v>25</v>
      </c>
      <c r="B11" s="10" t="s">
        <v>26</v>
      </c>
      <c r="C11" s="11" t="s">
        <v>27</v>
      </c>
      <c r="D11" s="11" t="s">
        <v>28</v>
      </c>
      <c r="E11" s="12" t="s">
        <v>127</v>
      </c>
      <c r="F11" s="12" t="s">
        <v>130</v>
      </c>
      <c r="G11" s="12"/>
    </row>
    <row r="12" spans="1:7" ht="111" customHeight="1">
      <c r="A12" s="6" t="s">
        <v>29</v>
      </c>
      <c r="B12" s="7" t="s">
        <v>30</v>
      </c>
      <c r="C12" s="8" t="s">
        <v>31</v>
      </c>
      <c r="D12" s="8" t="s">
        <v>32</v>
      </c>
      <c r="E12" s="12" t="s">
        <v>127</v>
      </c>
      <c r="F12" s="12" t="s">
        <v>131</v>
      </c>
      <c r="G12" s="12"/>
    </row>
    <row r="13" spans="1:7" ht="111" customHeight="1">
      <c r="A13" s="9" t="s">
        <v>33</v>
      </c>
      <c r="B13" s="10" t="s">
        <v>34</v>
      </c>
      <c r="C13" s="11" t="s">
        <v>35</v>
      </c>
      <c r="D13" s="11" t="s">
        <v>36</v>
      </c>
      <c r="E13" s="12" t="s">
        <v>133</v>
      </c>
      <c r="F13" s="12" t="s">
        <v>132</v>
      </c>
      <c r="G13" s="12"/>
    </row>
    <row r="14" spans="1:7" ht="118.5" customHeight="1">
      <c r="A14" s="6" t="s">
        <v>37</v>
      </c>
      <c r="B14" s="7" t="s">
        <v>38</v>
      </c>
      <c r="C14" s="8" t="s">
        <v>39</v>
      </c>
      <c r="D14" s="8" t="s">
        <v>40</v>
      </c>
      <c r="E14" s="12" t="s">
        <v>134</v>
      </c>
      <c r="F14" s="12" t="s">
        <v>135</v>
      </c>
      <c r="G14" s="12"/>
    </row>
    <row r="15" spans="1:7" ht="111" customHeight="1">
      <c r="A15" s="9" t="s">
        <v>41</v>
      </c>
      <c r="B15" s="10" t="s">
        <v>42</v>
      </c>
      <c r="C15" s="11" t="s">
        <v>43</v>
      </c>
      <c r="D15" s="11" t="s">
        <v>44</v>
      </c>
      <c r="E15" s="12" t="s">
        <v>134</v>
      </c>
      <c r="F15" s="12" t="s">
        <v>136</v>
      </c>
      <c r="G15" s="12"/>
    </row>
    <row r="16" spans="1:7" ht="111" customHeight="1">
      <c r="A16" s="6" t="s">
        <v>45</v>
      </c>
      <c r="B16" s="7" t="s">
        <v>46</v>
      </c>
      <c r="C16" s="8" t="s">
        <v>47</v>
      </c>
      <c r="D16" s="8" t="s">
        <v>48</v>
      </c>
      <c r="E16" s="12" t="s">
        <v>133</v>
      </c>
      <c r="F16" s="12" t="s">
        <v>137</v>
      </c>
      <c r="G16" s="12"/>
    </row>
    <row r="17" spans="1:7">
      <c r="A17" s="1"/>
      <c r="B17" s="1"/>
      <c r="C17" s="1"/>
      <c r="D17" s="1"/>
      <c r="E17" s="1"/>
      <c r="F17" s="1"/>
      <c r="G17" s="1"/>
    </row>
    <row r="18" spans="1:7" ht="24" customHeight="1">
      <c r="A18" s="13" t="s">
        <v>49</v>
      </c>
      <c r="B18" s="1"/>
      <c r="C18" s="1"/>
      <c r="D18" s="1"/>
      <c r="E18" s="1"/>
      <c r="F18" s="1"/>
      <c r="G18" s="1"/>
    </row>
    <row r="19" spans="1:7" ht="18.75" customHeight="1">
      <c r="A19" s="14" t="s">
        <v>50</v>
      </c>
      <c r="B19" s="14"/>
      <c r="C19" s="14"/>
      <c r="D19" s="14"/>
      <c r="E19" s="14"/>
      <c r="F19" s="14"/>
      <c r="G19" s="14"/>
    </row>
    <row r="20" spans="1:7">
      <c r="A20" s="1"/>
      <c r="B20" s="1"/>
      <c r="C20" s="1"/>
      <c r="D20" s="1"/>
      <c r="E20" s="1"/>
      <c r="F20" s="1"/>
      <c r="G20" s="1"/>
    </row>
    <row r="21" spans="1:7" ht="27" customHeight="1">
      <c r="A21" s="1"/>
      <c r="B21" s="15" t="s">
        <v>51</v>
      </c>
      <c r="C21" s="15" t="s">
        <v>52</v>
      </c>
      <c r="D21" s="15" t="s">
        <v>53</v>
      </c>
      <c r="E21" s="1"/>
      <c r="F21" s="1"/>
      <c r="G21" s="1"/>
    </row>
    <row r="22" spans="1:7" ht="49.5" customHeight="1">
      <c r="A22" s="1"/>
      <c r="B22" s="16" t="s">
        <v>54</v>
      </c>
      <c r="C22" s="18">
        <v>48</v>
      </c>
      <c r="D22" s="16" t="s">
        <v>55</v>
      </c>
      <c r="E22" s="1"/>
      <c r="F22" s="1"/>
      <c r="G22" s="1"/>
    </row>
    <row r="23" spans="1:7" ht="49.5" customHeight="1">
      <c r="A23" s="1"/>
      <c r="B23" s="17" t="s">
        <v>56</v>
      </c>
      <c r="C23" s="19">
        <v>36</v>
      </c>
      <c r="D23" s="17" t="s">
        <v>55</v>
      </c>
      <c r="E23" s="1"/>
      <c r="F23" s="1"/>
      <c r="G23" s="1"/>
    </row>
    <row r="24" spans="1:7" ht="49.5" customHeight="1">
      <c r="A24" s="1"/>
      <c r="B24" s="16" t="s">
        <v>57</v>
      </c>
      <c r="C24" s="18">
        <v>230</v>
      </c>
      <c r="D24" s="16" t="s">
        <v>58</v>
      </c>
      <c r="E24" s="1"/>
      <c r="F24" s="1"/>
      <c r="G24" s="1"/>
    </row>
    <row r="25" spans="1:7" ht="49.5" customHeight="1">
      <c r="A25" s="1"/>
      <c r="B25" s="17" t="s">
        <v>59</v>
      </c>
      <c r="C25" s="17" t="s">
        <v>60</v>
      </c>
      <c r="D25" s="17" t="s">
        <v>61</v>
      </c>
      <c r="E25" s="1"/>
      <c r="F25" s="1"/>
      <c r="G25" s="1"/>
    </row>
    <row r="26" spans="1:7" ht="49.5" customHeight="1">
      <c r="A26" s="1"/>
      <c r="B26" s="16" t="s">
        <v>62</v>
      </c>
      <c r="C26" s="18">
        <v>15</v>
      </c>
      <c r="D26" s="16" t="s">
        <v>63</v>
      </c>
      <c r="E26" s="1"/>
      <c r="F26" s="1"/>
      <c r="G26" s="1"/>
    </row>
    <row r="27" spans="1:7" ht="49.5" customHeight="1">
      <c r="A27" s="1"/>
      <c r="B27" s="17" t="s">
        <v>64</v>
      </c>
      <c r="C27" s="17" t="s">
        <v>65</v>
      </c>
      <c r="D27" s="17" t="s">
        <v>66</v>
      </c>
      <c r="E27" s="1"/>
      <c r="F27" s="1"/>
      <c r="G27" s="1"/>
    </row>
    <row r="28" spans="1:7" ht="49.5" customHeight="1">
      <c r="A28" s="1"/>
      <c r="B28" s="16" t="s">
        <v>67</v>
      </c>
      <c r="C28" s="16" t="s">
        <v>68</v>
      </c>
      <c r="D28" s="16" t="s">
        <v>69</v>
      </c>
      <c r="E28" s="1"/>
      <c r="F28" s="1"/>
      <c r="G28" s="1"/>
    </row>
    <row r="29" spans="1:7" ht="49.5" customHeight="1">
      <c r="A29" s="1"/>
      <c r="B29" s="17" t="s">
        <v>70</v>
      </c>
      <c r="C29" s="17" t="s">
        <v>71</v>
      </c>
      <c r="D29" s="17" t="s">
        <v>72</v>
      </c>
      <c r="E29" s="1"/>
      <c r="F29" s="1"/>
      <c r="G29" s="1"/>
    </row>
    <row r="30" spans="1:7" ht="49.5" customHeight="1">
      <c r="A30" s="1"/>
      <c r="B30" s="16" t="s">
        <v>73</v>
      </c>
      <c r="C30" s="16" t="s">
        <v>74</v>
      </c>
      <c r="D30" s="16" t="s">
        <v>75</v>
      </c>
      <c r="E30" s="1"/>
      <c r="F30" s="1"/>
      <c r="G30" s="1"/>
    </row>
    <row r="31" spans="1:7" ht="49.5" customHeight="1">
      <c r="A31" s="1"/>
      <c r="B31" s="17" t="s">
        <v>76</v>
      </c>
      <c r="C31" s="17" t="s">
        <v>77</v>
      </c>
      <c r="D31" s="17" t="s">
        <v>78</v>
      </c>
      <c r="E31" s="1"/>
      <c r="F31" s="1"/>
      <c r="G31" s="1"/>
    </row>
    <row r="32" spans="1:7" ht="49.5" customHeight="1">
      <c r="A32" s="1"/>
      <c r="B32" s="16" t="s">
        <v>79</v>
      </c>
      <c r="C32" s="16" t="s">
        <v>80</v>
      </c>
      <c r="D32" s="16" t="s">
        <v>81</v>
      </c>
      <c r="E32" s="1"/>
      <c r="F32" s="1"/>
      <c r="G32" s="1"/>
    </row>
    <row r="33" spans="1:7" ht="49.5" customHeight="1">
      <c r="A33" s="1"/>
      <c r="B33" s="17" t="s">
        <v>82</v>
      </c>
      <c r="C33" s="19">
        <v>230</v>
      </c>
      <c r="D33" s="17" t="s">
        <v>83</v>
      </c>
      <c r="E33" s="1"/>
      <c r="F33" s="1"/>
      <c r="G33" s="1"/>
    </row>
    <row r="34" spans="1:7" ht="49.5" customHeight="1">
      <c r="A34" s="1"/>
      <c r="B34" s="16" t="s">
        <v>84</v>
      </c>
      <c r="C34" s="20">
        <v>1171.8900000000001</v>
      </c>
      <c r="D34" s="16" t="s">
        <v>85</v>
      </c>
      <c r="E34" s="1"/>
      <c r="F34" s="1"/>
      <c r="G34" s="1"/>
    </row>
    <row r="35" spans="1:7" ht="49.5" customHeight="1">
      <c r="A35" s="1"/>
      <c r="B35" s="17" t="s">
        <v>86</v>
      </c>
      <c r="C35" s="17" t="s">
        <v>87</v>
      </c>
      <c r="D35" s="17" t="s">
        <v>88</v>
      </c>
      <c r="E35" s="1"/>
      <c r="F35" s="1"/>
      <c r="G35" s="1"/>
    </row>
    <row r="36" spans="1:7" ht="49.5" customHeight="1">
      <c r="A36" s="1"/>
      <c r="B36" s="16" t="s">
        <v>89</v>
      </c>
      <c r="C36" s="16" t="s">
        <v>90</v>
      </c>
      <c r="D36" s="16" t="s">
        <v>91</v>
      </c>
      <c r="E36" s="1"/>
      <c r="F36" s="1"/>
      <c r="G36" s="1"/>
    </row>
    <row r="37" spans="1:7" ht="49.5" customHeight="1">
      <c r="A37" s="1"/>
      <c r="B37" s="17" t="s">
        <v>92</v>
      </c>
      <c r="C37" s="17" t="s">
        <v>93</v>
      </c>
      <c r="D37" s="17" t="s">
        <v>94</v>
      </c>
      <c r="E37" s="1"/>
      <c r="F37" s="1"/>
      <c r="G37" s="1"/>
    </row>
    <row r="38" spans="1:7" ht="49.5" customHeight="1">
      <c r="A38" s="1"/>
      <c r="B38" s="16" t="s">
        <v>95</v>
      </c>
      <c r="C38" s="16" t="s">
        <v>96</v>
      </c>
      <c r="D38" s="16" t="s">
        <v>97</v>
      </c>
      <c r="E38" s="1"/>
      <c r="F38" s="1"/>
      <c r="G38" s="1"/>
    </row>
    <row r="39" spans="1:7" ht="49.5" customHeight="1">
      <c r="A39" s="1"/>
      <c r="B39" s="17" t="s">
        <v>98</v>
      </c>
      <c r="C39" s="21">
        <v>0.47499999999999998</v>
      </c>
      <c r="D39" s="17" t="s">
        <v>99</v>
      </c>
      <c r="E39" s="1"/>
      <c r="F39" s="1"/>
      <c r="G39" s="1"/>
    </row>
    <row r="40" spans="1:7" ht="49.5" customHeight="1">
      <c r="A40" s="1"/>
      <c r="B40" s="16" t="s">
        <v>100</v>
      </c>
      <c r="C40" s="16" t="s">
        <v>101</v>
      </c>
      <c r="D40" s="16" t="s">
        <v>102</v>
      </c>
      <c r="E40" s="1"/>
      <c r="F40" s="1"/>
      <c r="G40" s="1"/>
    </row>
    <row r="41" spans="1:7" ht="49.5" customHeight="1">
      <c r="A41" s="1"/>
      <c r="B41" s="17" t="s">
        <v>103</v>
      </c>
      <c r="C41" s="17" t="s">
        <v>104</v>
      </c>
      <c r="D41" s="17" t="s">
        <v>105</v>
      </c>
      <c r="E41" s="1"/>
      <c r="F41" s="1"/>
      <c r="G41" s="1"/>
    </row>
    <row r="42" spans="1:7" ht="49.5" customHeight="1">
      <c r="A42" s="1"/>
      <c r="B42" s="16" t="s">
        <v>106</v>
      </c>
      <c r="C42" s="16" t="s">
        <v>107</v>
      </c>
      <c r="D42" s="16" t="s">
        <v>108</v>
      </c>
      <c r="E42" s="1"/>
      <c r="F42" s="1"/>
      <c r="G42" s="1"/>
    </row>
    <row r="43" spans="1:7" ht="68.25" customHeight="1">
      <c r="A43" s="1"/>
      <c r="B43" s="17" t="s">
        <v>109</v>
      </c>
      <c r="C43" s="17" t="s">
        <v>110</v>
      </c>
      <c r="D43" s="17" t="s">
        <v>111</v>
      </c>
      <c r="E43" s="1"/>
      <c r="F43" s="1"/>
      <c r="G43" s="1"/>
    </row>
    <row r="44" spans="1:7" ht="68.25" customHeight="1">
      <c r="A44" s="1"/>
      <c r="B44" s="16" t="s">
        <v>112</v>
      </c>
      <c r="C44" s="16" t="s">
        <v>113</v>
      </c>
      <c r="D44" s="16" t="s">
        <v>114</v>
      </c>
      <c r="E44" s="1"/>
      <c r="F44" s="1"/>
      <c r="G44" s="1"/>
    </row>
    <row r="45" spans="1:7" ht="68.25" customHeight="1">
      <c r="A45" s="1"/>
      <c r="B45" s="17" t="s">
        <v>115</v>
      </c>
      <c r="C45" s="17" t="s">
        <v>116</v>
      </c>
      <c r="D45" s="17" t="s">
        <v>117</v>
      </c>
      <c r="E45" s="1"/>
      <c r="F45" s="1"/>
      <c r="G45" s="1"/>
    </row>
    <row r="46" spans="1:7" ht="68.25" customHeight="1">
      <c r="A46" s="1"/>
      <c r="B46" s="16" t="s">
        <v>118</v>
      </c>
      <c r="C46" s="16" t="s">
        <v>119</v>
      </c>
      <c r="D46" s="16" t="s">
        <v>120</v>
      </c>
      <c r="E46" s="1"/>
      <c r="F46" s="1"/>
      <c r="G46" s="1"/>
    </row>
    <row r="47" spans="1:7" ht="68.25" customHeight="1">
      <c r="A47" s="1"/>
      <c r="B47" s="17" t="s">
        <v>121</v>
      </c>
      <c r="C47" s="17" t="s">
        <v>122</v>
      </c>
      <c r="D47" s="17" t="s">
        <v>123</v>
      </c>
      <c r="E47" s="1"/>
      <c r="F47" s="1"/>
      <c r="G47" s="1"/>
    </row>
    <row r="48" spans="1:7" ht="68.25" customHeight="1">
      <c r="A48" s="1"/>
      <c r="B48" s="16" t="s">
        <v>124</v>
      </c>
      <c r="C48" s="16" t="s">
        <v>125</v>
      </c>
      <c r="D48" s="16" t="s">
        <v>126</v>
      </c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</sheetData>
  <dataValidations count="1">
    <dataValidation type="list" sqref="E8:E16" xr:uid="{00000000-0002-0000-0000-000000000000}">
      <formula1>"Update,Keep as noted,Defer,Discuss,Not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Coherence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Turley</cp:lastModifiedBy>
  <dcterms:modified xsi:type="dcterms:W3CDTF">2026-10-09T22:06:58Z</dcterms:modified>
</cp:coreProperties>
</file>